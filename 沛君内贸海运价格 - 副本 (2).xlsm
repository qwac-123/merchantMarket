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merchantMarket\"/>
    </mc:Choice>
  </mc:AlternateContent>
  <bookViews>
    <workbookView xWindow="0" yWindow="108" windowWidth="20412" windowHeight="8892" activeTab="4"/>
  </bookViews>
  <sheets>
    <sheet name="12月4周 " sheetId="23" r:id="rId1"/>
    <sheet name="12月3周" sheetId="5" r:id="rId2"/>
    <sheet name="12月2周" sheetId="22" r:id="rId3"/>
    <sheet name="12月1周" sheetId="6" r:id="rId4"/>
    <sheet name="11月5周" sheetId="7" r:id="rId5"/>
    <sheet name="11月4周" sheetId="8" r:id="rId6"/>
    <sheet name="11月3周" sheetId="9" r:id="rId7"/>
    <sheet name="11月2周" sheetId="10" r:id="rId8"/>
    <sheet name="11月1周" sheetId="11" r:id="rId9"/>
    <sheet name="10月5周" sheetId="12" r:id="rId10"/>
    <sheet name="10月4周" sheetId="13" r:id="rId11"/>
    <sheet name="10月3周" sheetId="14" r:id="rId12"/>
    <sheet name="10月2周" sheetId="15" r:id="rId13"/>
    <sheet name="10月1周" sheetId="16" r:id="rId14"/>
    <sheet name="9月5周" sheetId="24" r:id="rId15"/>
    <sheet name="9月4周" sheetId="25" r:id="rId16"/>
    <sheet name="9月3周" sheetId="26" r:id="rId17"/>
    <sheet name="9月2周" sheetId="27" r:id="rId18"/>
    <sheet name="9月1周" sheetId="28" r:id="rId19"/>
    <sheet name="8月5周" sheetId="29" r:id="rId20"/>
    <sheet name="8月4周" sheetId="30" r:id="rId21"/>
    <sheet name="8月3周" sheetId="31" r:id="rId22"/>
    <sheet name="8月2周" sheetId="32" r:id="rId23"/>
    <sheet name="8月1周" sheetId="33" r:id="rId24"/>
    <sheet name="7月5周" sheetId="34" r:id="rId25"/>
    <sheet name="7月4周" sheetId="35" r:id="rId26"/>
    <sheet name="7月3周" sheetId="36" r:id="rId27"/>
    <sheet name="7月2周" sheetId="37" r:id="rId28"/>
    <sheet name="7月1周" sheetId="38" r:id="rId29"/>
    <sheet name="6月5周" sheetId="39" r:id="rId30"/>
    <sheet name="6月4周" sheetId="40" r:id="rId31"/>
    <sheet name="6月3周" sheetId="41" r:id="rId32"/>
    <sheet name="6月2周" sheetId="42" r:id="rId33"/>
    <sheet name="6月1周" sheetId="43" r:id="rId34"/>
  </sheets>
  <calcPr calcId="162913"/>
</workbook>
</file>

<file path=xl/calcChain.xml><?xml version="1.0" encoding="utf-8"?>
<calcChain xmlns="http://schemas.openxmlformats.org/spreadsheetml/2006/main">
  <c r="B15" i="43" l="1"/>
  <c r="B16" i="43" s="1"/>
  <c r="A15" i="43"/>
  <c r="A16" i="43" s="1"/>
  <c r="B12" i="43"/>
  <c r="B13" i="43" s="1"/>
  <c r="A12" i="43"/>
  <c r="A13" i="43" s="1"/>
  <c r="B9" i="43"/>
  <c r="B10" i="43" s="1"/>
  <c r="A9" i="43"/>
  <c r="A10" i="43" s="1"/>
  <c r="B6" i="43"/>
  <c r="B7" i="43" s="1"/>
  <c r="A6" i="43"/>
  <c r="A7" i="43" s="1"/>
  <c r="B3" i="43"/>
  <c r="B4" i="43" s="1"/>
  <c r="A3" i="43"/>
  <c r="A4" i="43" s="1"/>
  <c r="B15" i="42"/>
  <c r="B16" i="42" s="1"/>
  <c r="A15" i="42"/>
  <c r="A16" i="42" s="1"/>
  <c r="B12" i="42"/>
  <c r="B13" i="42" s="1"/>
  <c r="A12" i="42"/>
  <c r="A13" i="42" s="1"/>
  <c r="B9" i="42"/>
  <c r="B10" i="42" s="1"/>
  <c r="A9" i="42"/>
  <c r="A10" i="42" s="1"/>
  <c r="B6" i="42"/>
  <c r="B7" i="42" s="1"/>
  <c r="A6" i="42"/>
  <c r="A7" i="42" s="1"/>
  <c r="B3" i="42"/>
  <c r="B4" i="42" s="1"/>
  <c r="A3" i="42"/>
  <c r="A4" i="42" s="1"/>
  <c r="B15" i="41"/>
  <c r="B16" i="41" s="1"/>
  <c r="A15" i="41"/>
  <c r="A16" i="41" s="1"/>
  <c r="B12" i="41"/>
  <c r="B13" i="41" s="1"/>
  <c r="A12" i="41"/>
  <c r="A13" i="41" s="1"/>
  <c r="B9" i="41"/>
  <c r="B10" i="41" s="1"/>
  <c r="A9" i="41"/>
  <c r="A10" i="41" s="1"/>
  <c r="B6" i="41"/>
  <c r="B7" i="41" s="1"/>
  <c r="A6" i="41"/>
  <c r="A7" i="41" s="1"/>
  <c r="B3" i="41"/>
  <c r="B4" i="41" s="1"/>
  <c r="A3" i="41"/>
  <c r="A4" i="41" s="1"/>
  <c r="B15" i="40"/>
  <c r="B16" i="40" s="1"/>
  <c r="A15" i="40"/>
  <c r="A16" i="40" s="1"/>
  <c r="B12" i="40"/>
  <c r="B13" i="40" s="1"/>
  <c r="A12" i="40"/>
  <c r="A13" i="40" s="1"/>
  <c r="B9" i="40"/>
  <c r="B10" i="40" s="1"/>
  <c r="A9" i="40"/>
  <c r="A10" i="40" s="1"/>
  <c r="B6" i="40"/>
  <c r="B7" i="40" s="1"/>
  <c r="A6" i="40"/>
  <c r="A7" i="40" s="1"/>
  <c r="B3" i="40"/>
  <c r="B4" i="40" s="1"/>
  <c r="A3" i="40"/>
  <c r="A4" i="40" s="1"/>
  <c r="B15" i="39"/>
  <c r="B16" i="39" s="1"/>
  <c r="A15" i="39"/>
  <c r="A16" i="39" s="1"/>
  <c r="B12" i="39"/>
  <c r="B13" i="39" s="1"/>
  <c r="A12" i="39"/>
  <c r="A13" i="39" s="1"/>
  <c r="B9" i="39"/>
  <c r="B10" i="39" s="1"/>
  <c r="A9" i="39"/>
  <c r="A10" i="39" s="1"/>
  <c r="B6" i="39"/>
  <c r="B7" i="39" s="1"/>
  <c r="A6" i="39"/>
  <c r="A7" i="39" s="1"/>
  <c r="B3" i="39"/>
  <c r="B4" i="39" s="1"/>
  <c r="A3" i="39"/>
  <c r="A4" i="39" s="1"/>
  <c r="B15" i="38"/>
  <c r="B16" i="38" s="1"/>
  <c r="A15" i="38"/>
  <c r="A16" i="38" s="1"/>
  <c r="B12" i="38"/>
  <c r="B13" i="38" s="1"/>
  <c r="A12" i="38"/>
  <c r="A13" i="38" s="1"/>
  <c r="B9" i="38"/>
  <c r="B10" i="38" s="1"/>
  <c r="A9" i="38"/>
  <c r="A10" i="38" s="1"/>
  <c r="B6" i="38"/>
  <c r="B7" i="38" s="1"/>
  <c r="A6" i="38"/>
  <c r="A7" i="38" s="1"/>
  <c r="B3" i="38"/>
  <c r="B4" i="38" s="1"/>
  <c r="A3" i="38"/>
  <c r="A4" i="38" s="1"/>
  <c r="B15" i="37"/>
  <c r="B16" i="37" s="1"/>
  <c r="A15" i="37"/>
  <c r="A16" i="37" s="1"/>
  <c r="B12" i="37"/>
  <c r="B13" i="37" s="1"/>
  <c r="A12" i="37"/>
  <c r="A13" i="37" s="1"/>
  <c r="B9" i="37"/>
  <c r="B10" i="37" s="1"/>
  <c r="A9" i="37"/>
  <c r="A10" i="37" s="1"/>
  <c r="B6" i="37"/>
  <c r="B7" i="37" s="1"/>
  <c r="A6" i="37"/>
  <c r="A7" i="37" s="1"/>
  <c r="B3" i="37"/>
  <c r="B4" i="37" s="1"/>
  <c r="A3" i="37"/>
  <c r="A4" i="37" s="1"/>
  <c r="B16" i="36"/>
  <c r="B15" i="36"/>
  <c r="A15" i="36"/>
  <c r="A16" i="36" s="1"/>
  <c r="B13" i="36"/>
  <c r="B12" i="36"/>
  <c r="A12" i="36"/>
  <c r="A13" i="36" s="1"/>
  <c r="B10" i="36"/>
  <c r="B9" i="36"/>
  <c r="A9" i="36"/>
  <c r="A10" i="36" s="1"/>
  <c r="B7" i="36"/>
  <c r="B6" i="36"/>
  <c r="A6" i="36"/>
  <c r="A7" i="36" s="1"/>
  <c r="B4" i="36"/>
  <c r="B3" i="36"/>
  <c r="A3" i="36"/>
  <c r="A4" i="36" s="1"/>
  <c r="B16" i="35"/>
  <c r="B15" i="35"/>
  <c r="A15" i="35"/>
  <c r="A16" i="35" s="1"/>
  <c r="B13" i="35"/>
  <c r="B12" i="35"/>
  <c r="A12" i="35"/>
  <c r="A13" i="35" s="1"/>
  <c r="B10" i="35"/>
  <c r="B9" i="35"/>
  <c r="A9" i="35"/>
  <c r="A10" i="35" s="1"/>
  <c r="B7" i="35"/>
  <c r="B6" i="35"/>
  <c r="A6" i="35"/>
  <c r="A7" i="35" s="1"/>
  <c r="B4" i="35"/>
  <c r="B3" i="35"/>
  <c r="A3" i="35"/>
  <c r="A4" i="35" s="1"/>
  <c r="B15" i="34"/>
  <c r="B16" i="34" s="1"/>
  <c r="A15" i="34"/>
  <c r="A16" i="34" s="1"/>
  <c r="B12" i="34"/>
  <c r="B13" i="34" s="1"/>
  <c r="A12" i="34"/>
  <c r="A13" i="34" s="1"/>
  <c r="B9" i="34"/>
  <c r="B10" i="34" s="1"/>
  <c r="A9" i="34"/>
  <c r="A10" i="34" s="1"/>
  <c r="B6" i="34"/>
  <c r="B7" i="34" s="1"/>
  <c r="A6" i="34"/>
  <c r="A7" i="34" s="1"/>
  <c r="B3" i="34"/>
  <c r="B4" i="34" s="1"/>
  <c r="A3" i="34"/>
  <c r="A4" i="34" s="1"/>
  <c r="B15" i="33"/>
  <c r="B16" i="33" s="1"/>
  <c r="A15" i="33"/>
  <c r="A16" i="33" s="1"/>
  <c r="B12" i="33"/>
  <c r="B13" i="33" s="1"/>
  <c r="A12" i="33"/>
  <c r="A13" i="33" s="1"/>
  <c r="B9" i="33"/>
  <c r="B10" i="33" s="1"/>
  <c r="A9" i="33"/>
  <c r="A10" i="33" s="1"/>
  <c r="B6" i="33"/>
  <c r="B7" i="33" s="1"/>
  <c r="A6" i="33"/>
  <c r="A7" i="33" s="1"/>
  <c r="B3" i="33"/>
  <c r="B4" i="33" s="1"/>
  <c r="A3" i="33"/>
  <c r="A4" i="33" s="1"/>
  <c r="B15" i="32"/>
  <c r="B16" i="32" s="1"/>
  <c r="A15" i="32"/>
  <c r="A16" i="32" s="1"/>
  <c r="B12" i="32"/>
  <c r="B13" i="32" s="1"/>
  <c r="A12" i="32"/>
  <c r="A13" i="32" s="1"/>
  <c r="B9" i="32"/>
  <c r="B10" i="32" s="1"/>
  <c r="A9" i="32"/>
  <c r="A10" i="32" s="1"/>
  <c r="B6" i="32"/>
  <c r="B7" i="32" s="1"/>
  <c r="A6" i="32"/>
  <c r="A7" i="32" s="1"/>
  <c r="B3" i="32"/>
  <c r="B4" i="32" s="1"/>
  <c r="A3" i="32"/>
  <c r="A4" i="32" s="1"/>
  <c r="B15" i="31"/>
  <c r="B16" i="31" s="1"/>
  <c r="A15" i="31"/>
  <c r="A16" i="31" s="1"/>
  <c r="B12" i="31"/>
  <c r="B13" i="31" s="1"/>
  <c r="A12" i="31"/>
  <c r="A13" i="31" s="1"/>
  <c r="B9" i="31"/>
  <c r="B10" i="31" s="1"/>
  <c r="A9" i="31"/>
  <c r="A10" i="31" s="1"/>
  <c r="B6" i="31"/>
  <c r="B7" i="31" s="1"/>
  <c r="A6" i="31"/>
  <c r="A7" i="31" s="1"/>
  <c r="B3" i="31"/>
  <c r="B4" i="31" s="1"/>
  <c r="A3" i="31"/>
  <c r="A4" i="31" s="1"/>
  <c r="B15" i="30"/>
  <c r="B16" i="30" s="1"/>
  <c r="A15" i="30"/>
  <c r="A16" i="30" s="1"/>
  <c r="B12" i="30"/>
  <c r="B13" i="30" s="1"/>
  <c r="A12" i="30"/>
  <c r="A13" i="30" s="1"/>
  <c r="B9" i="30"/>
  <c r="B10" i="30" s="1"/>
  <c r="A9" i="30"/>
  <c r="A10" i="30" s="1"/>
  <c r="B6" i="30"/>
  <c r="B7" i="30" s="1"/>
  <c r="A6" i="30"/>
  <c r="A7" i="30" s="1"/>
  <c r="B3" i="30"/>
  <c r="B4" i="30" s="1"/>
  <c r="A3" i="30"/>
  <c r="A4" i="30" s="1"/>
  <c r="B15" i="29"/>
  <c r="B16" i="29" s="1"/>
  <c r="A15" i="29"/>
  <c r="A16" i="29" s="1"/>
  <c r="B12" i="29"/>
  <c r="B13" i="29" s="1"/>
  <c r="A12" i="29"/>
  <c r="A13" i="29" s="1"/>
  <c r="B9" i="29"/>
  <c r="B10" i="29" s="1"/>
  <c r="A9" i="29"/>
  <c r="A10" i="29" s="1"/>
  <c r="B6" i="29"/>
  <c r="B7" i="29" s="1"/>
  <c r="A6" i="29"/>
  <c r="A7" i="29" s="1"/>
  <c r="B3" i="29"/>
  <c r="B4" i="29" s="1"/>
  <c r="A3" i="29"/>
  <c r="A4" i="29" s="1"/>
  <c r="B15" i="28"/>
  <c r="B16" i="28" s="1"/>
  <c r="A15" i="28"/>
  <c r="A16" i="28" s="1"/>
  <c r="B12" i="28"/>
  <c r="B13" i="28" s="1"/>
  <c r="A12" i="28"/>
  <c r="A13" i="28" s="1"/>
  <c r="B9" i="28"/>
  <c r="B10" i="28" s="1"/>
  <c r="A9" i="28"/>
  <c r="A10" i="28" s="1"/>
  <c r="B6" i="28"/>
  <c r="B7" i="28" s="1"/>
  <c r="A6" i="28"/>
  <c r="A7" i="28" s="1"/>
  <c r="B3" i="28"/>
  <c r="B4" i="28" s="1"/>
  <c r="A3" i="28"/>
  <c r="A4" i="28" s="1"/>
  <c r="B15" i="27"/>
  <c r="B16" i="27" s="1"/>
  <c r="A15" i="27"/>
  <c r="A16" i="27" s="1"/>
  <c r="B12" i="27"/>
  <c r="B13" i="27" s="1"/>
  <c r="A12" i="27"/>
  <c r="A13" i="27" s="1"/>
  <c r="B9" i="27"/>
  <c r="B10" i="27" s="1"/>
  <c r="A9" i="27"/>
  <c r="A10" i="27" s="1"/>
  <c r="B6" i="27"/>
  <c r="B7" i="27" s="1"/>
  <c r="A6" i="27"/>
  <c r="A7" i="27" s="1"/>
  <c r="B3" i="27"/>
  <c r="B4" i="27" s="1"/>
  <c r="A3" i="27"/>
  <c r="A4" i="27" s="1"/>
  <c r="B16" i="26"/>
  <c r="B15" i="26"/>
  <c r="A15" i="26"/>
  <c r="A16" i="26" s="1"/>
  <c r="B13" i="26"/>
  <c r="B12" i="26"/>
  <c r="A12" i="26"/>
  <c r="A13" i="26" s="1"/>
  <c r="B10" i="26"/>
  <c r="B9" i="26"/>
  <c r="A9" i="26"/>
  <c r="A10" i="26" s="1"/>
  <c r="B7" i="26"/>
  <c r="B6" i="26"/>
  <c r="A6" i="26"/>
  <c r="A7" i="26" s="1"/>
  <c r="B4" i="26"/>
  <c r="B3" i="26"/>
  <c r="A3" i="26"/>
  <c r="A4" i="26" s="1"/>
  <c r="B15" i="25"/>
  <c r="B16" i="25" s="1"/>
  <c r="A15" i="25"/>
  <c r="A16" i="25" s="1"/>
  <c r="B12" i="25"/>
  <c r="B13" i="25" s="1"/>
  <c r="A12" i="25"/>
  <c r="A13" i="25" s="1"/>
  <c r="B9" i="25"/>
  <c r="B10" i="25" s="1"/>
  <c r="A9" i="25"/>
  <c r="A10" i="25" s="1"/>
  <c r="B6" i="25"/>
  <c r="B7" i="25" s="1"/>
  <c r="A6" i="25"/>
  <c r="A7" i="25" s="1"/>
  <c r="B3" i="25"/>
  <c r="B4" i="25" s="1"/>
  <c r="A3" i="25"/>
  <c r="A4" i="25" s="1"/>
  <c r="B15" i="24"/>
  <c r="B16" i="24" s="1"/>
  <c r="A15" i="24"/>
  <c r="A16" i="24" s="1"/>
  <c r="B12" i="24"/>
  <c r="B13" i="24" s="1"/>
  <c r="A12" i="24"/>
  <c r="A13" i="24" s="1"/>
  <c r="B9" i="24"/>
  <c r="B10" i="24" s="1"/>
  <c r="A9" i="24"/>
  <c r="A10" i="24" s="1"/>
  <c r="B6" i="24"/>
  <c r="B7" i="24" s="1"/>
  <c r="A6" i="24"/>
  <c r="A7" i="24" s="1"/>
  <c r="B3" i="24"/>
  <c r="B4" i="24" s="1"/>
  <c r="A3" i="24"/>
  <c r="A4" i="24" s="1"/>
  <c r="B16" i="23" l="1"/>
  <c r="B15" i="23"/>
  <c r="A15" i="23"/>
  <c r="A16" i="23" s="1"/>
  <c r="B13" i="23"/>
  <c r="B12" i="23"/>
  <c r="A12" i="23"/>
  <c r="A13" i="23" s="1"/>
  <c r="B10" i="23"/>
  <c r="B9" i="23"/>
  <c r="A9" i="23"/>
  <c r="A10" i="23" s="1"/>
  <c r="B7" i="23"/>
  <c r="B6" i="23"/>
  <c r="A6" i="23"/>
  <c r="A7" i="23" s="1"/>
  <c r="B4" i="23"/>
  <c r="B3" i="23"/>
  <c r="A3" i="23"/>
  <c r="A4" i="23" s="1"/>
  <c r="B15" i="22"/>
  <c r="B16" i="22" s="1"/>
  <c r="A15" i="22"/>
  <c r="A16" i="22" s="1"/>
  <c r="B12" i="22"/>
  <c r="B13" i="22" s="1"/>
  <c r="A12" i="22"/>
  <c r="A13" i="22" s="1"/>
  <c r="B9" i="22"/>
  <c r="B10" i="22" s="1"/>
  <c r="A9" i="22"/>
  <c r="A10" i="22" s="1"/>
  <c r="B6" i="22"/>
  <c r="B7" i="22" s="1"/>
  <c r="A6" i="22"/>
  <c r="A7" i="22" s="1"/>
  <c r="B3" i="22"/>
  <c r="B4" i="22" s="1"/>
  <c r="A3" i="22"/>
  <c r="A4" i="22" s="1"/>
  <c r="B15" i="16"/>
  <c r="B16" i="16" s="1"/>
  <c r="A15" i="16"/>
  <c r="A16" i="16" s="1"/>
  <c r="B12" i="16"/>
  <c r="B13" i="16" s="1"/>
  <c r="A12" i="16"/>
  <c r="A13" i="16" s="1"/>
  <c r="B9" i="16"/>
  <c r="B10" i="16" s="1"/>
  <c r="A9" i="16"/>
  <c r="A10" i="16" s="1"/>
  <c r="B6" i="16"/>
  <c r="B7" i="16" s="1"/>
  <c r="A6" i="16"/>
  <c r="A7" i="16" s="1"/>
  <c r="B3" i="16"/>
  <c r="B4" i="16" s="1"/>
  <c r="A3" i="16"/>
  <c r="A4" i="16" s="1"/>
  <c r="B15" i="15"/>
  <c r="B16" i="15" s="1"/>
  <c r="A15" i="15"/>
  <c r="A16" i="15" s="1"/>
  <c r="A13" i="15"/>
  <c r="B12" i="15"/>
  <c r="B13" i="15" s="1"/>
  <c r="A12" i="15"/>
  <c r="A10" i="15"/>
  <c r="B9" i="15"/>
  <c r="B10" i="15" s="1"/>
  <c r="A9" i="15"/>
  <c r="B6" i="15"/>
  <c r="B7" i="15" s="1"/>
  <c r="A6" i="15"/>
  <c r="A7" i="15" s="1"/>
  <c r="B3" i="15"/>
  <c r="B4" i="15" s="1"/>
  <c r="A3" i="15"/>
  <c r="A4" i="15" s="1"/>
  <c r="B16" i="14"/>
  <c r="B15" i="14"/>
  <c r="A15" i="14"/>
  <c r="A16" i="14" s="1"/>
  <c r="B13" i="14"/>
  <c r="B12" i="14"/>
  <c r="A12" i="14"/>
  <c r="A13" i="14" s="1"/>
  <c r="B10" i="14"/>
  <c r="B9" i="14"/>
  <c r="A9" i="14"/>
  <c r="A10" i="14" s="1"/>
  <c r="B7" i="14"/>
  <c r="B6" i="14"/>
  <c r="A6" i="14"/>
  <c r="A7" i="14" s="1"/>
  <c r="B4" i="14"/>
  <c r="B3" i="14"/>
  <c r="A3" i="14"/>
  <c r="A4" i="14" s="1"/>
  <c r="A16" i="13"/>
  <c r="B15" i="13"/>
  <c r="B16" i="13" s="1"/>
  <c r="A15" i="13"/>
  <c r="A13" i="13"/>
  <c r="B12" i="13"/>
  <c r="B13" i="13" s="1"/>
  <c r="A12" i="13"/>
  <c r="B9" i="13"/>
  <c r="B10" i="13" s="1"/>
  <c r="A9" i="13"/>
  <c r="A10" i="13" s="1"/>
  <c r="B6" i="13"/>
  <c r="B7" i="13" s="1"/>
  <c r="A6" i="13"/>
  <c r="A7" i="13" s="1"/>
  <c r="A4" i="13"/>
  <c r="B3" i="13"/>
  <c r="B4" i="13" s="1"/>
  <c r="A3" i="13"/>
  <c r="A16" i="12"/>
  <c r="B15" i="12"/>
  <c r="B16" i="12" s="1"/>
  <c r="A15" i="12"/>
  <c r="B12" i="12"/>
  <c r="B13" i="12" s="1"/>
  <c r="A12" i="12"/>
  <c r="A13" i="12" s="1"/>
  <c r="B9" i="12"/>
  <c r="B10" i="12" s="1"/>
  <c r="A9" i="12"/>
  <c r="A10" i="12" s="1"/>
  <c r="A7" i="12"/>
  <c r="B6" i="12"/>
  <c r="B7" i="12" s="1"/>
  <c r="A6" i="12"/>
  <c r="A4" i="12"/>
  <c r="B3" i="12"/>
  <c r="B4" i="12" s="1"/>
  <c r="A3" i="12"/>
  <c r="B15" i="11"/>
  <c r="B16" i="11" s="1"/>
  <c r="A15" i="11"/>
  <c r="A16" i="11" s="1"/>
  <c r="B12" i="11"/>
  <c r="B13" i="11" s="1"/>
  <c r="A12" i="11"/>
  <c r="A13" i="11" s="1"/>
  <c r="B9" i="11"/>
  <c r="B10" i="11" s="1"/>
  <c r="A9" i="11"/>
  <c r="A10" i="11" s="1"/>
  <c r="B6" i="11"/>
  <c r="B7" i="11" s="1"/>
  <c r="A6" i="11"/>
  <c r="A7" i="11" s="1"/>
  <c r="B3" i="11"/>
  <c r="B4" i="11" s="1"/>
  <c r="A3" i="11"/>
  <c r="A4" i="11" s="1"/>
  <c r="B15" i="10"/>
  <c r="B16" i="10" s="1"/>
  <c r="A15" i="10"/>
  <c r="A16" i="10" s="1"/>
  <c r="B12" i="10"/>
  <c r="B13" i="10" s="1"/>
  <c r="A12" i="10"/>
  <c r="A13" i="10" s="1"/>
  <c r="B9" i="10"/>
  <c r="B10" i="10" s="1"/>
  <c r="A9" i="10"/>
  <c r="A10" i="10" s="1"/>
  <c r="B6" i="10"/>
  <c r="B7" i="10" s="1"/>
  <c r="A6" i="10"/>
  <c r="A7" i="10" s="1"/>
  <c r="B3" i="10"/>
  <c r="B4" i="10" s="1"/>
  <c r="A3" i="10"/>
  <c r="A4" i="10" s="1"/>
  <c r="B15" i="9"/>
  <c r="B16" i="9" s="1"/>
  <c r="A15" i="9"/>
  <c r="A16" i="9" s="1"/>
  <c r="B12" i="9"/>
  <c r="B13" i="9" s="1"/>
  <c r="A12" i="9"/>
  <c r="A13" i="9" s="1"/>
  <c r="A10" i="9"/>
  <c r="B9" i="9"/>
  <c r="B10" i="9" s="1"/>
  <c r="A9" i="9"/>
  <c r="A7" i="9"/>
  <c r="B6" i="9"/>
  <c r="B7" i="9" s="1"/>
  <c r="A6" i="9"/>
  <c r="B3" i="9"/>
  <c r="B4" i="9" s="1"/>
  <c r="A3" i="9"/>
  <c r="A4" i="9" s="1"/>
  <c r="B15" i="8"/>
  <c r="B16" i="8" s="1"/>
  <c r="A15" i="8"/>
  <c r="A16" i="8" s="1"/>
  <c r="B13" i="8"/>
  <c r="B12" i="8"/>
  <c r="A12" i="8"/>
  <c r="A13" i="8" s="1"/>
  <c r="B10" i="8"/>
  <c r="B9" i="8"/>
  <c r="A9" i="8"/>
  <c r="A10" i="8" s="1"/>
  <c r="B6" i="8"/>
  <c r="B7" i="8" s="1"/>
  <c r="A6" i="8"/>
  <c r="A7" i="8" s="1"/>
  <c r="B3" i="8"/>
  <c r="B4" i="8" s="1"/>
  <c r="A3" i="8"/>
  <c r="A4" i="8" s="1"/>
  <c r="A16" i="7"/>
  <c r="B15" i="7"/>
  <c r="B16" i="7" s="1"/>
  <c r="A15" i="7"/>
  <c r="B13" i="7"/>
  <c r="A13" i="7"/>
  <c r="B12" i="7"/>
  <c r="A12" i="7"/>
  <c r="B10" i="7"/>
  <c r="A10" i="7"/>
  <c r="B9" i="7"/>
  <c r="A9" i="7"/>
  <c r="B7" i="7"/>
  <c r="A7" i="7"/>
  <c r="B6" i="7"/>
  <c r="A6" i="7"/>
  <c r="B4" i="7"/>
  <c r="A4" i="7"/>
  <c r="B3" i="7"/>
  <c r="A3" i="7"/>
  <c r="A3" i="6"/>
  <c r="A4" i="6" s="1"/>
  <c r="B3" i="6"/>
  <c r="B4" i="6" s="1"/>
  <c r="A6" i="6"/>
  <c r="A7" i="6" s="1"/>
  <c r="B6" i="6"/>
  <c r="B7" i="6" s="1"/>
  <c r="A9" i="6"/>
  <c r="A10" i="6" s="1"/>
  <c r="B9" i="6"/>
  <c r="B10" i="6" s="1"/>
  <c r="A12" i="6"/>
  <c r="A13" i="6" s="1"/>
  <c r="B12" i="6"/>
  <c r="B13" i="6" s="1"/>
  <c r="A15" i="6"/>
  <c r="A16" i="6" s="1"/>
  <c r="B15" i="6"/>
  <c r="B16" i="6" s="1"/>
  <c r="A3" i="5"/>
  <c r="A4" i="5" s="1"/>
  <c r="B3" i="5"/>
  <c r="B4" i="5" s="1"/>
  <c r="A6" i="5"/>
  <c r="A7" i="5" s="1"/>
  <c r="B6" i="5"/>
  <c r="B7" i="5" s="1"/>
  <c r="A9" i="5"/>
  <c r="A10" i="5" s="1"/>
  <c r="B9" i="5"/>
  <c r="B10" i="5" s="1"/>
  <c r="A12" i="5"/>
  <c r="A13" i="5" s="1"/>
  <c r="B12" i="5"/>
  <c r="B13" i="5" s="1"/>
  <c r="A15" i="5"/>
  <c r="A16" i="5" s="1"/>
  <c r="B15" i="5"/>
  <c r="B16" i="5" s="1"/>
</calcChain>
</file>

<file path=xl/sharedStrings.xml><?xml version="1.0" encoding="utf-8"?>
<sst xmlns="http://schemas.openxmlformats.org/spreadsheetml/2006/main" count="1385" uniqueCount="236">
  <si>
    <t>165-185</t>
  </si>
  <si>
    <t>210-230</t>
  </si>
  <si>
    <t>190-210</t>
  </si>
  <si>
    <t>155-175</t>
  </si>
  <si>
    <t>145-165</t>
  </si>
  <si>
    <t>120- 140</t>
  </si>
  <si>
    <t>2KT</t>
    <phoneticPr fontId="1" type="noConversion"/>
  </si>
  <si>
    <t>3KT</t>
    <phoneticPr fontId="1" type="noConversion"/>
  </si>
  <si>
    <t>5KT</t>
    <phoneticPr fontId="1" type="noConversion"/>
  </si>
  <si>
    <t>大连-江阴</t>
    <phoneticPr fontId="1" type="noConversion"/>
  </si>
  <si>
    <t>江阴-大连</t>
    <phoneticPr fontId="1" type="noConversion"/>
  </si>
  <si>
    <t>大连-东莞</t>
    <phoneticPr fontId="1" type="noConversion"/>
  </si>
  <si>
    <t>江阴-东莞</t>
    <phoneticPr fontId="1" type="noConversion"/>
  </si>
  <si>
    <t>茂名-江阴</t>
    <phoneticPr fontId="1" type="noConversion"/>
  </si>
  <si>
    <t>华北-华东</t>
    <phoneticPr fontId="1" type="noConversion"/>
  </si>
  <si>
    <t>华东-华北</t>
    <phoneticPr fontId="1" type="noConversion"/>
  </si>
  <si>
    <t>华南-华东</t>
    <phoneticPr fontId="1" type="noConversion"/>
  </si>
  <si>
    <t>华东-华南</t>
    <phoneticPr fontId="1" type="noConversion"/>
  </si>
  <si>
    <t>华北-华南</t>
    <phoneticPr fontId="1" type="noConversion"/>
  </si>
  <si>
    <t>主要航线</t>
    <phoneticPr fontId="1" type="noConversion"/>
  </si>
  <si>
    <t>主要船型</t>
    <phoneticPr fontId="1" type="noConversion"/>
  </si>
  <si>
    <t>运价范围（元/吨）</t>
    <phoneticPr fontId="1" type="noConversion"/>
  </si>
  <si>
    <t>涨跌幅（元/吨）</t>
    <phoneticPr fontId="1" type="noConversion"/>
  </si>
  <si>
    <t>135-150</t>
  </si>
  <si>
    <t>120-130</t>
  </si>
  <si>
    <t>120-140</t>
  </si>
  <si>
    <t>180-2 05</t>
    <phoneticPr fontId="1" type="noConversion"/>
  </si>
  <si>
    <t>165-185</t>
    <phoneticPr fontId="1" type="noConversion"/>
  </si>
  <si>
    <t>150 16 5</t>
    <phoneticPr fontId="1" type="noConversion"/>
  </si>
  <si>
    <t>150- 165</t>
    <phoneticPr fontId="1" type="noConversion"/>
  </si>
  <si>
    <t>135-150</t>
    <phoneticPr fontId="1" type="noConversion"/>
  </si>
  <si>
    <t>120-130</t>
    <phoneticPr fontId="1" type="noConversion"/>
  </si>
  <si>
    <t>360-375</t>
    <phoneticPr fontId="1" type="noConversion"/>
  </si>
  <si>
    <t>3 15-3 30</t>
    <phoneticPr fontId="1" type="noConversion"/>
  </si>
  <si>
    <t>220-240</t>
    <phoneticPr fontId="1" type="noConversion"/>
  </si>
  <si>
    <t>210-230</t>
    <phoneticPr fontId="1" type="noConversion"/>
  </si>
  <si>
    <t>190-2 10</t>
    <phoneticPr fontId="1" type="noConversion"/>
  </si>
  <si>
    <t>1 70 190</t>
    <phoneticPr fontId="1" type="noConversion"/>
  </si>
  <si>
    <t>155-175</t>
    <phoneticPr fontId="1" type="noConversion"/>
  </si>
  <si>
    <t>145-165</t>
    <phoneticPr fontId="1" type="noConversion"/>
  </si>
  <si>
    <t>120-140</t>
    <phoneticPr fontId="1" type="noConversion"/>
  </si>
  <si>
    <t>180- 195</t>
  </si>
  <si>
    <t>160- 180</t>
  </si>
  <si>
    <t>145-160</t>
  </si>
  <si>
    <t>135- 150</t>
  </si>
  <si>
    <t>355-370</t>
  </si>
  <si>
    <t>215-240</t>
  </si>
  <si>
    <t>205-225</t>
  </si>
  <si>
    <t>185-205</t>
  </si>
  <si>
    <t>310-3 30</t>
  </si>
  <si>
    <t>5KT</t>
    <phoneticPr fontId="1" type="noConversion"/>
  </si>
  <si>
    <t>3KT</t>
    <phoneticPr fontId="1" type="noConversion"/>
  </si>
  <si>
    <t>2KT</t>
    <phoneticPr fontId="1" type="noConversion"/>
  </si>
  <si>
    <t>茂名-江阴</t>
    <phoneticPr fontId="1" type="noConversion"/>
  </si>
  <si>
    <t>华南-华东</t>
    <phoneticPr fontId="1" type="noConversion"/>
  </si>
  <si>
    <t>江阴-东莞</t>
    <phoneticPr fontId="1" type="noConversion"/>
  </si>
  <si>
    <t>华东-华南</t>
    <phoneticPr fontId="1" type="noConversion"/>
  </si>
  <si>
    <t>310-3 30</t>
    <phoneticPr fontId="1" type="noConversion"/>
  </si>
  <si>
    <t>大连-东莞</t>
    <phoneticPr fontId="1" type="noConversion"/>
  </si>
  <si>
    <t>华北-华南</t>
    <phoneticPr fontId="1" type="noConversion"/>
  </si>
  <si>
    <t>江阴-大连</t>
    <phoneticPr fontId="1" type="noConversion"/>
  </si>
  <si>
    <t>华东-华北</t>
    <phoneticPr fontId="1" type="noConversion"/>
  </si>
  <si>
    <t>大连-江阴</t>
    <phoneticPr fontId="1" type="noConversion"/>
  </si>
  <si>
    <t>华北-华东</t>
    <phoneticPr fontId="1" type="noConversion"/>
  </si>
  <si>
    <t>涨跌幅（元/吨）</t>
    <phoneticPr fontId="1" type="noConversion"/>
  </si>
  <si>
    <t>运价范围（元/吨）</t>
    <phoneticPr fontId="1" type="noConversion"/>
  </si>
  <si>
    <t>主要船型</t>
    <phoneticPr fontId="1" type="noConversion"/>
  </si>
  <si>
    <t>主要航线</t>
    <phoneticPr fontId="1" type="noConversion"/>
  </si>
  <si>
    <t>175-195</t>
  </si>
  <si>
    <t>140- 160</t>
  </si>
  <si>
    <t>135-1 50</t>
  </si>
  <si>
    <t>350-370</t>
  </si>
  <si>
    <t>230-240</t>
  </si>
  <si>
    <t>165-180</t>
  </si>
  <si>
    <t>150-170</t>
  </si>
  <si>
    <t>140-1 60</t>
  </si>
  <si>
    <t>130-150</t>
  </si>
  <si>
    <t>115-125</t>
  </si>
  <si>
    <t>180-200</t>
  </si>
  <si>
    <t>150-165</t>
  </si>
  <si>
    <t>310-330</t>
  </si>
  <si>
    <t>170- 190</t>
  </si>
  <si>
    <t>160- 185</t>
  </si>
  <si>
    <t>155-165</t>
  </si>
  <si>
    <t>240-260</t>
  </si>
  <si>
    <t>210-225</t>
  </si>
  <si>
    <t>185-210</t>
  </si>
  <si>
    <t>170- 180</t>
  </si>
  <si>
    <t>150- 170</t>
  </si>
  <si>
    <t>130-1 50</t>
  </si>
  <si>
    <t>140-150</t>
    <phoneticPr fontId="1" type="noConversion"/>
  </si>
  <si>
    <t>3 10-3 30</t>
    <phoneticPr fontId="1" type="noConversion"/>
  </si>
  <si>
    <t>140-160</t>
  </si>
  <si>
    <t>140 150</t>
  </si>
  <si>
    <t>120 1 30</t>
  </si>
  <si>
    <t>305-325</t>
  </si>
  <si>
    <t>170 180</t>
  </si>
  <si>
    <t>130- 150</t>
  </si>
  <si>
    <t>140 160</t>
  </si>
  <si>
    <t>310-3 0</t>
  </si>
  <si>
    <t>2 30-240</t>
  </si>
  <si>
    <t>165- 1 80</t>
  </si>
  <si>
    <t>1 30 1 50</t>
  </si>
  <si>
    <t>180-205</t>
  </si>
  <si>
    <t>150-1 65</t>
  </si>
  <si>
    <t>150- 170</t>
  </si>
  <si>
    <t>360-375</t>
  </si>
  <si>
    <t>315-330</t>
  </si>
  <si>
    <t>220-240</t>
  </si>
  <si>
    <t>140- 160</t>
  </si>
  <si>
    <t>120-135</t>
  </si>
  <si>
    <t>170-185</t>
  </si>
  <si>
    <t>1 30- 150</t>
  </si>
  <si>
    <t>150-1 60</t>
  </si>
  <si>
    <t>1 30-150</t>
  </si>
  <si>
    <t>110-120</t>
  </si>
  <si>
    <t>355-375</t>
  </si>
  <si>
    <t>320-330</t>
  </si>
  <si>
    <t>240-255</t>
  </si>
  <si>
    <t>205-210</t>
  </si>
  <si>
    <t>190-205</t>
  </si>
  <si>
    <t>160- 175</t>
  </si>
  <si>
    <t>上周中国液体化学品内贸海运价格出现小幅下跌。</t>
  </si>
  <si>
    <t>下跌的主要原因：</t>
  </si>
  <si>
    <t> ①：夏季属于大宗商品生产企业集中检修季节，市场供应量减少；</t>
  </si>
  <si>
    <t>②：原油价格走低，大宗商品市场交投不活跃；</t>
  </si>
  <si>
    <t>③：4-6月国内成品油市场疲软，部分工厂和贸易商库存处于高位，调油需求减少，芳烃贸易量下降，船运物流需求亦下降；</t>
  </si>
  <si>
    <t>④：就下游市场来看，近期国内环保出现大规模严格检查，导致下游原料采购速度减缓；</t>
  </si>
  <si>
    <t>⑤：7-8月不利因素：高温季节即将来到，船舶靠港装卸将受到限制，但预计不会对运价造成明显影响。</t>
  </si>
  <si>
    <t>175-185</t>
  </si>
  <si>
    <t>155-170</t>
  </si>
  <si>
    <t>150- 160</t>
  </si>
  <si>
    <t>350-365</t>
  </si>
  <si>
    <t>315-325</t>
  </si>
  <si>
    <t>1. 华北至华东航线因船货供需情况较为平衡，2000吨船型及局部地区的3000吨船型报价出现小幅回升；</t>
  </si>
  <si>
    <t>2. 常州华润码头船舶被撞事件将间接导致船公司运营成本有所提高，可能影响长江区域近江船舶运费出现小幅上涨；</t>
  </si>
  <si>
    <t>3. 中国液体化学品内贸海运大环境与上周相比变化暂不明显，绝大部分航线报价与上周持平。</t>
  </si>
  <si>
    <t>150-1 55</t>
    <phoneticPr fontId="1" type="noConversion"/>
  </si>
  <si>
    <t>1 25-145</t>
    <phoneticPr fontId="1" type="noConversion"/>
  </si>
  <si>
    <t>175-190</t>
  </si>
  <si>
    <t>130- 150</t>
  </si>
  <si>
    <t>355-365</t>
  </si>
  <si>
    <t>205-215</t>
  </si>
  <si>
    <t>130 150</t>
  </si>
  <si>
    <t>1.在度过了月底局部舱位紧张的情况下，由于沿海地区连续受台风影响，船舶周转率未能有效提高，运价得以支撑；</t>
  </si>
  <si>
    <t>2.上周受太仓港集装箱船事故影响，长江航道及部分码头作业停止，船舶有短期拥堵情况出现，局部航线舱位紧张，但尚未达到推升运价的程度；</t>
  </si>
  <si>
    <t>3.各省环评监督继续推进中，下游需求受到一定程度抑制，市场总体需求不旺，预计运价将继续处于弱市运行状态。</t>
  </si>
  <si>
    <t>135-155</t>
  </si>
  <si>
    <t>360-370</t>
  </si>
  <si>
    <t>320-335</t>
  </si>
  <si>
    <t>245-260</t>
  </si>
  <si>
    <t>210-220</t>
  </si>
  <si>
    <t>190-2 15</t>
  </si>
  <si>
    <t>130-150</t>
    <phoneticPr fontId="1" type="noConversion"/>
  </si>
  <si>
    <t>1.上周除华南及华东地区运价基本保持稳定以外，其余地区运价均出现小幅回升；</t>
  </si>
  <si>
    <t>2.受上周末台风及东海军演影响，船舶周转率有所下降，特别是华北及华东区域局部舱位紧张；</t>
  </si>
  <si>
    <t>3.本周5000吨及以上吨位船舶舱位需求明显回升，运价随之小幅上涨；</t>
  </si>
  <si>
    <t>4.市场整体来看，随着部分工厂检修结束，本周华南区域舱位供给较为富裕，华东相对平衡，华北局部呈现舱位紧张情况。</t>
  </si>
  <si>
    <t>180-195</t>
  </si>
  <si>
    <t>365-375</t>
  </si>
  <si>
    <t>215-225</t>
  </si>
  <si>
    <t>190-215</t>
  </si>
  <si>
    <t>1. 伴随部分工厂检修结束，上周华北出货量增加，尤其2000吨仓位吃紧，需求明显，供不应求，加之华北地区受天气影响，部分港口连日封港频发，使得船舶周转率大大降低，因此华北至华东、华南航线2000吨舱位运价出现小幅上涨；</t>
  </si>
  <si>
    <t>2. 因受17日晚间大连石化催化裂化装置分馏区域燃料泵着火影响，当日七厂码头4个泊位全部暂停作业，抛锚船舶为数众多，直至周六陆续恢复靠离，因此也加剧了近期华北舱位的紧张局势。</t>
  </si>
  <si>
    <t>130 150.</t>
  </si>
  <si>
    <t>1. 上周运价基本维持稳定，小船需求明显，舱位仍趋紧张；</t>
  </si>
  <si>
    <t>2. 华南受“天鸽”、“帕卡”台风影响，部分港口持续封港、码头拥堵，致使船期延误频发；华北受大风影响，大连部分港口拥堵严重，导致船舶周转率下降；</t>
  </si>
  <si>
    <t>3. 华南部分交易因船期延误严重，为避免跨月等问题，出现市场临时询船的情况，但舱位紧缺，成交不多，对市场价格基本未造成影响。</t>
  </si>
  <si>
    <t>1. 受13号强台风影响，华南地区船舶船期延迟情况频发，个别船舶受灾，导致局部舱位紧张，运价得以支撑；</t>
  </si>
  <si>
    <t>2. 随着环保监督在浙江工作的继续开展，部分工厂受此影响停车整改，抑制了部分运力需求；</t>
  </si>
  <si>
    <t>3. 市场本周总体运价保持平稳。</t>
  </si>
  <si>
    <t>1. 中国液体化学品内贸海运市场整体逐步回暖，舱位供需相对平衡，长距离航线运价有抬升迹象；</t>
  </si>
  <si>
    <t>2. 近阶段，船舶舱位空置现象明显减少，临时性抓船难度加大；</t>
  </si>
  <si>
    <t>3. 受外贸市场转暖影响，大吨位船舶舱位运价得到支撑，中旬需注意内贸大吨位运力可能出现的集中供应释放。</t>
  </si>
  <si>
    <t>365-380</t>
  </si>
  <si>
    <t>320-340</t>
  </si>
  <si>
    <t>245-265</t>
  </si>
  <si>
    <t>115-125</t>
    <phoneticPr fontId="1" type="noConversion"/>
  </si>
  <si>
    <t>1. 受双台风影响，华东多个码头产生拥堵，船舶周转率影响较大；</t>
  </si>
  <si>
    <t>2. 本周市场舱位明显紧张，受月末出货要求影响，大部分市场运价均有所上扬，部分航线一船难求；</t>
  </si>
  <si>
    <t>3. 市场舱位供需紧张情况预计将在短期内维持，进入10月后有望恢复平衡；</t>
  </si>
  <si>
    <t>4. 江苏海事局关于十月中旬进江危险品货物的规定尚未明朗，或导致部分运输产品调整计划，需进一步等待官方正式公告。</t>
  </si>
  <si>
    <t>160-180</t>
  </si>
  <si>
    <t>140-150</t>
  </si>
  <si>
    <t>160- 180</t>
  </si>
  <si>
    <t>310- 3 30</t>
  </si>
  <si>
    <t>190-21 0</t>
  </si>
  <si>
    <t>120-1 30</t>
  </si>
  <si>
    <t>170- 180</t>
    <phoneticPr fontId="1" type="noConversion"/>
  </si>
  <si>
    <t>150- 1 70</t>
    <phoneticPr fontId="1" type="noConversion"/>
  </si>
  <si>
    <t>1. 十一和中秋长假后的第一周，节前出货集中的情况在节后有所缓解，使得部分北方航线运价小幅回调；</t>
  </si>
  <si>
    <t>2. 随着江苏海事局为期两周的特别安全监管措施生效，长江段船舶作业效率将受到一定影响；</t>
  </si>
  <si>
    <t>3. 周末期间，受到台风及冷空气共同影响，华南大部分码头封港，预计将对下周华南航线运价产生向上的影响；</t>
  </si>
  <si>
    <t>4. 周五，青岛港务局临时通知，即日起到26日，禁止部分液体危险品作业，该举将对华北航线产生较大冲击，下周将关注措施细则执行情况。</t>
  </si>
  <si>
    <t>135-145</t>
  </si>
  <si>
    <t>3 00-32 0</t>
  </si>
  <si>
    <t>170-1 80</t>
  </si>
  <si>
    <t>1. 部分北方港口由于安保升级原因对液体危险品船舶作业进行限制，导致华北地区部分运力计划出现临时调整，对运价有一定冲击；</t>
  </si>
  <si>
    <t>2.  华南双台风过后，区域内运力迅速调整，未对相关航线产生明显影响；</t>
  </si>
  <si>
    <t>3. 上周末华东地区受冷空气及大风影响，封港时间较长，而下周临近月底，双重影响下，预计舱位供应偏紧，部分相关航线运价有上涨可能；</t>
  </si>
  <si>
    <t>140 160</t>
  </si>
  <si>
    <t>135- 150</t>
  </si>
  <si>
    <t>120- 1 30</t>
  </si>
  <si>
    <t>300-320</t>
  </si>
  <si>
    <t>2 10-2 30</t>
  </si>
  <si>
    <t>11 5 130</t>
  </si>
  <si>
    <t>1. 受冷空气封港影响，华北华东存在堵港情况，其中华东相对严重，局部舱位紧张，导致部分航线运价小幅上涨。</t>
  </si>
  <si>
    <t>2. 华南区域舱位相对宽松，部分北上航线运价小幅回落。</t>
  </si>
  <si>
    <t>3. 华北及华东安保临时升级措施于上周后期相继降低解除，受冷空气及22号台风双重影响，预计本周周初（10月底前）舱位紧张局面将凸现。</t>
  </si>
  <si>
    <t>1. 航运市场整体供需平衡，进入11月初，部分航线运价略有小幅回落。</t>
  </si>
  <si>
    <t>2. 华北受大风天气影响，部分港口出现堵港现象，局部舱位偏紧。</t>
  </si>
  <si>
    <t>3. 国内数家工厂进入检修阶段，运力有所释放，未来运价有承压趋势。</t>
  </si>
  <si>
    <t>1. 上周液体化学品内贸海运市场整体供需较为平稳，随着月末时点过去，运价出现小幅回落；</t>
  </si>
  <si>
    <t>2. 华北部分港口受冷空气封港影响，堵港情况继续发生，而华东地区堵港情况有所缓解；</t>
  </si>
  <si>
    <t>3. 随着油价攀升，如保持势头，预计将对未来运价产生推升作用。</t>
  </si>
  <si>
    <t>1. 上周中国地区液体化学品内贸海运市场基本维持回落态势，运价保持低位盘整；</t>
  </si>
  <si>
    <t>2. 5000吨级以上舱位相对充足，部分航线运价略有小幅下降；</t>
  </si>
  <si>
    <t>3. 大部分港口受恶劣天气影响较小，除部分北方港口外，少有封港情况。</t>
  </si>
  <si>
    <t>1. 上周临近月末，北方南下部分航线舱位紧张，价格略有上涨；</t>
  </si>
  <si>
    <t>2.  油价继续高位运行，对运价有支撑作用；</t>
  </si>
  <si>
    <t>3.  冷空气大风恶劣天气导致封港情况比较频繁，船舶营运效率受到影响，这将导致运价继续提升。</t>
  </si>
  <si>
    <t>1. 中国地区液体化学品内贸海运市场供需整体偏紧，3000吨及以下吨位部分航线运价保持坚挺；</t>
  </si>
  <si>
    <t>2.  受恶劣冷空气天气影响，华北部分港口堵港情况频发，船舶压港，影响营运周转率；</t>
  </si>
  <si>
    <t>3.  受MTO装置检修影响，大吨位船舶部分运能有所释放，对冲了部分因船舶压港减少的舱位供应。</t>
  </si>
  <si>
    <t>1. 临近年底，市场运价继续维持温和上升态势，受到恶劣天气及外贸市场尤其是东北亚市场需求旺盛影响，内贸舱位供应普遍偏紧；</t>
  </si>
  <si>
    <t>2. 上周大风恶劣天气不同程度影响华北各个港口，船舶滞港情况较为显著；</t>
  </si>
  <si>
    <t>3. 目前市场上整体各级吨位舱位供应紧张，鲅鱼圈已经发布冰封期时间，未来一两周运价有望继续保持上升态势。</t>
  </si>
  <si>
    <t>1. 受大风及渤海湾部分港口有浮冰等恶劣天气影响，华北部分航线运价继续小幅上涨；</t>
  </si>
  <si>
    <t>2. 外盘运价持续高位，吸引部分内外贸兼营舱位，对内贸运价具有支撑作用；</t>
  </si>
  <si>
    <t>3. 华南近期有工厂检修，缓解华南部分航线舱位紧张压力。</t>
  </si>
  <si>
    <t>1.随着1月1日起渤海湾鲅鱼圈开始进入冰封期，东北港口对船型及船龄的要求提高导致相应航线运价上升；</t>
  </si>
  <si>
    <t>2. 华南有部分工厂检修或临时停车，部分舱位空出，导致华南区域及华东华南航线运价出现下行压力；</t>
  </si>
  <si>
    <t>3. 华北华东受雾霾天气影响，部分港口出现压港现象，可能会导致局部区域舱位紧张，或将推高相关航线运价。</t>
  </si>
  <si>
    <t>1. 上周中国地区液体化学品内贸海运市场基本维持前期回升态势，部分航线运价逐步上涨；</t>
  </si>
  <si>
    <t>2.  大风恶劣天气频发，导致华南局部航线舱位紧缺，运价出现上调；</t>
  </si>
  <si>
    <t>3.  市场部分小吨位船舶集中检修，舱位紧张，订舱期预计延后。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</si>
</sst>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E3E3E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justify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5"/>
  <sheetViews>
    <sheetView workbookViewId="0">
      <selection activeCell="I7" sqref="I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103</v>
      </c>
      <c r="E2" s="3"/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0</v>
      </c>
      <c r="E3" s="3"/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104</v>
      </c>
      <c r="E4" s="3"/>
    </row>
    <row r="5" spans="1:5" x14ac:dyDescent="0.25">
      <c r="A5" s="2" t="s">
        <v>15</v>
      </c>
      <c r="B5" s="2" t="s">
        <v>10</v>
      </c>
      <c r="C5" s="2" t="s">
        <v>6</v>
      </c>
      <c r="D5" s="3" t="s">
        <v>105</v>
      </c>
      <c r="E5" s="3"/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23</v>
      </c>
      <c r="E6" s="3"/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24</v>
      </c>
      <c r="E7" s="3"/>
    </row>
    <row r="8" spans="1:5" x14ac:dyDescent="0.25">
      <c r="A8" s="2" t="s">
        <v>18</v>
      </c>
      <c r="B8" s="2" t="s">
        <v>11</v>
      </c>
      <c r="C8" s="2" t="s">
        <v>6</v>
      </c>
      <c r="D8" s="3" t="s">
        <v>106</v>
      </c>
      <c r="E8" s="3"/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107</v>
      </c>
      <c r="E9" s="3"/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108</v>
      </c>
      <c r="E10" s="3"/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47</v>
      </c>
      <c r="E11" s="3"/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48</v>
      </c>
      <c r="E12" s="3"/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0</v>
      </c>
      <c r="E13" s="3"/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74</v>
      </c>
      <c r="E14" s="3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109</v>
      </c>
      <c r="E15" s="3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110</v>
      </c>
      <c r="E16" s="3"/>
    </row>
    <row r="21" spans="1:1" ht="132" x14ac:dyDescent="0.25">
      <c r="A21" s="4" t="s">
        <v>230</v>
      </c>
    </row>
    <row r="23" spans="1:1" ht="132" x14ac:dyDescent="0.25">
      <c r="A23" s="4" t="s">
        <v>231</v>
      </c>
    </row>
    <row r="25" spans="1:1" ht="132" x14ac:dyDescent="0.25">
      <c r="A25" s="4" t="s">
        <v>232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s="3" t="s">
        <v>26</v>
      </c>
      <c r="E2" s="3"/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s="3" t="s">
        <v>27</v>
      </c>
      <c r="E3" s="3"/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s="3" t="s">
        <v>28</v>
      </c>
      <c r="E4" s="3"/>
    </row>
    <row r="5" spans="1:5" x14ac:dyDescent="0.25">
      <c r="A5" s="2" t="s">
        <v>15</v>
      </c>
      <c r="B5" s="2" t="s">
        <v>10</v>
      </c>
      <c r="C5" s="2" t="s">
        <v>6</v>
      </c>
      <c r="D5" s="3" t="s">
        <v>29</v>
      </c>
      <c r="E5" s="3"/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s="3" t="s">
        <v>30</v>
      </c>
      <c r="E6" s="3"/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s="3" t="s">
        <v>31</v>
      </c>
      <c r="E7" s="3"/>
    </row>
    <row r="8" spans="1:5" x14ac:dyDescent="0.25">
      <c r="A8" s="2" t="s">
        <v>18</v>
      </c>
      <c r="B8" s="2" t="s">
        <v>11</v>
      </c>
      <c r="C8" s="2" t="s">
        <v>6</v>
      </c>
      <c r="D8" s="3" t="s">
        <v>32</v>
      </c>
      <c r="E8" s="3"/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s="3" t="s">
        <v>33</v>
      </c>
      <c r="E9" s="3"/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34</v>
      </c>
      <c r="E10" s="3"/>
    </row>
    <row r="11" spans="1:5" x14ac:dyDescent="0.25">
      <c r="A11" s="2" t="s">
        <v>17</v>
      </c>
      <c r="B11" s="2" t="s">
        <v>12</v>
      </c>
      <c r="C11" s="2" t="s">
        <v>6</v>
      </c>
      <c r="D11" s="3" t="s">
        <v>35</v>
      </c>
      <c r="E11" s="3"/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36</v>
      </c>
      <c r="E12" s="3"/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37</v>
      </c>
      <c r="E13" s="3"/>
    </row>
    <row r="14" spans="1:5" x14ac:dyDescent="0.25">
      <c r="A14" s="2" t="s">
        <v>16</v>
      </c>
      <c r="B14" s="2" t="s">
        <v>13</v>
      </c>
      <c r="C14" s="2" t="s">
        <v>6</v>
      </c>
      <c r="D14" s="3" t="s">
        <v>38</v>
      </c>
      <c r="E14" s="3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39</v>
      </c>
      <c r="E15" s="3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40</v>
      </c>
      <c r="E16" s="3"/>
    </row>
    <row r="21" spans="1:1" ht="105.6" x14ac:dyDescent="0.25">
      <c r="A21" s="4" t="s">
        <v>227</v>
      </c>
    </row>
    <row r="23" spans="1:1" ht="92.4" x14ac:dyDescent="0.25">
      <c r="A23" s="4" t="s">
        <v>228</v>
      </c>
    </row>
    <row r="25" spans="1:1" ht="79.2" x14ac:dyDescent="0.25">
      <c r="A25" s="4" t="s">
        <v>229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26"/>
  <sheetViews>
    <sheetView workbookViewId="0">
      <selection activeCell="A21" sqref="A21:A2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79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80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1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81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</row>
    <row r="21" spans="1:1" ht="172.8" x14ac:dyDescent="0.25">
      <c r="A21" s="5" t="s">
        <v>224</v>
      </c>
    </row>
    <row r="23" spans="1:1" ht="100.8" x14ac:dyDescent="0.25">
      <c r="A23" s="5" t="s">
        <v>225</v>
      </c>
    </row>
    <row r="26" spans="1:1" ht="158.4" x14ac:dyDescent="0.25">
      <c r="A26" s="5" t="s">
        <v>226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41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43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44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57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0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3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5</v>
      </c>
    </row>
    <row r="21" spans="1:1" ht="118.8" x14ac:dyDescent="0.25">
      <c r="A21" s="4" t="s">
        <v>221</v>
      </c>
    </row>
    <row r="23" spans="1:1" ht="105.6" x14ac:dyDescent="0.25">
      <c r="A23" s="4" t="s">
        <v>222</v>
      </c>
    </row>
    <row r="25" spans="1:1" ht="118.8" x14ac:dyDescent="0.25">
      <c r="A25" s="4" t="s">
        <v>223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5"/>
  <sheetViews>
    <sheetView tabSelected="1"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70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74</v>
      </c>
      <c r="E14" s="1"/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75</v>
      </c>
      <c r="E15" s="1"/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  <c r="E16" s="1"/>
    </row>
    <row r="21" spans="1:1" ht="129.6" x14ac:dyDescent="0.25">
      <c r="A21" s="5" t="s">
        <v>233</v>
      </c>
    </row>
    <row r="23" spans="1:1" ht="100.8" x14ac:dyDescent="0.25">
      <c r="A23" s="5" t="s">
        <v>234</v>
      </c>
    </row>
    <row r="25" spans="1:1" ht="86.4" x14ac:dyDescent="0.25">
      <c r="A25" s="5" t="s">
        <v>235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4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  <row r="21" spans="1:1" ht="79.2" x14ac:dyDescent="0.25">
      <c r="A21" s="4" t="s">
        <v>218</v>
      </c>
    </row>
    <row r="23" spans="1:1" ht="52.8" x14ac:dyDescent="0.25">
      <c r="A23" s="4" t="s">
        <v>219</v>
      </c>
    </row>
    <row r="25" spans="1:1" ht="118.8" x14ac:dyDescent="0.25">
      <c r="A25" s="4" t="s">
        <v>220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98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100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47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101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102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  <row r="21" spans="1:1" ht="105.6" x14ac:dyDescent="0.25">
      <c r="A21" s="4" t="s">
        <v>215</v>
      </c>
    </row>
    <row r="23" spans="1:1" ht="79.2" x14ac:dyDescent="0.25">
      <c r="A23" s="4" t="s">
        <v>216</v>
      </c>
    </row>
    <row r="25" spans="1:1" ht="92.4" x14ac:dyDescent="0.25">
      <c r="A25" s="4" t="s">
        <v>217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94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71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96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97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  <row r="21" spans="1:1" ht="118.8" x14ac:dyDescent="0.25">
      <c r="A21" s="4" t="s">
        <v>212</v>
      </c>
    </row>
    <row r="23" spans="1:1" ht="118.8" x14ac:dyDescent="0.25">
      <c r="A23" s="4" t="s">
        <v>213</v>
      </c>
    </row>
    <row r="25" spans="1:1" ht="79.2" x14ac:dyDescent="0.25">
      <c r="A25" s="4" t="s">
        <v>214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82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90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45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91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87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88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89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</row>
    <row r="21" spans="1:1" ht="92.4" x14ac:dyDescent="0.25">
      <c r="A21" s="4" t="s">
        <v>209</v>
      </c>
    </row>
    <row r="23" spans="1:1" ht="79.2" x14ac:dyDescent="0.25">
      <c r="A23" s="4" t="s">
        <v>210</v>
      </c>
    </row>
    <row r="25" spans="1:1" ht="92.4" x14ac:dyDescent="0.25">
      <c r="A25" s="4" t="s">
        <v>211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6"/>
  <sheetViews>
    <sheetView workbookViewId="0">
      <selection activeCell="H28" sqref="H28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5"/>
  <sheetViews>
    <sheetView workbookViewId="0">
      <selection activeCell="E21" sqref="E2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200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201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202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148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203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204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111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205</v>
      </c>
    </row>
    <row r="21" spans="1:1" ht="145.19999999999999" x14ac:dyDescent="0.25">
      <c r="A21" s="4" t="s">
        <v>206</v>
      </c>
    </row>
    <row r="23" spans="1:1" ht="66" x14ac:dyDescent="0.25">
      <c r="A23" s="4" t="s">
        <v>207</v>
      </c>
    </row>
    <row r="25" spans="1:1" ht="171.6" x14ac:dyDescent="0.25">
      <c r="A25" s="4" t="s">
        <v>208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194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148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195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196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74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</row>
    <row r="21" spans="1:1" ht="158.4" x14ac:dyDescent="0.25">
      <c r="A21" s="4" t="s">
        <v>197</v>
      </c>
    </row>
    <row r="23" spans="1:1" ht="92.4" x14ac:dyDescent="0.25">
      <c r="A23" s="4" t="s">
        <v>198</v>
      </c>
    </row>
    <row r="25" spans="1:1" ht="171.6" x14ac:dyDescent="0.25">
      <c r="A25" s="4" t="s">
        <v>199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7"/>
  <sheetViews>
    <sheetView topLeftCell="A10" workbookViewId="0">
      <selection activeCell="D2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  <c r="D2" t="s">
        <v>68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  <c r="D3" t="s">
        <v>184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</row>
    <row r="5" spans="1:5" x14ac:dyDescent="0.25">
      <c r="A5" s="2" t="s">
        <v>61</v>
      </c>
      <c r="B5" s="2" t="s">
        <v>60</v>
      </c>
      <c r="C5" s="2" t="s">
        <v>52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 x14ac:dyDescent="0.25">
      <c r="A8" s="2" t="s">
        <v>59</v>
      </c>
      <c r="B8" s="2" t="s">
        <v>58</v>
      </c>
      <c r="C8" s="2" t="s">
        <v>52</v>
      </c>
      <c r="D8" t="s">
        <v>106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  <c r="D9" t="s">
        <v>185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  <c r="D11" t="s">
        <v>85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186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188</v>
      </c>
    </row>
    <row r="14" spans="1:5" x14ac:dyDescent="0.25">
      <c r="A14" s="2" t="s">
        <v>54</v>
      </c>
      <c r="B14" s="2" t="s">
        <v>53</v>
      </c>
      <c r="C14" s="2" t="s">
        <v>52</v>
      </c>
      <c r="D14" t="s">
        <v>189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140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187</v>
      </c>
    </row>
    <row r="21" spans="1:1" ht="132" x14ac:dyDescent="0.25">
      <c r="A21" s="4" t="s">
        <v>190</v>
      </c>
    </row>
    <row r="23" spans="1:1" ht="118.8" x14ac:dyDescent="0.25">
      <c r="A23" s="4" t="s">
        <v>191</v>
      </c>
    </row>
    <row r="25" spans="1:1" ht="132" x14ac:dyDescent="0.25">
      <c r="A25" s="4" t="s">
        <v>192</v>
      </c>
    </row>
    <row r="27" spans="1:1" ht="171.6" x14ac:dyDescent="0.25">
      <c r="A27" s="4" t="s">
        <v>193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 x14ac:dyDescent="0.25">
      <c r="A2" s="2" t="s">
        <v>63</v>
      </c>
      <c r="B2" s="2" t="s">
        <v>62</v>
      </c>
      <c r="C2" s="2" t="s">
        <v>52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51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50</v>
      </c>
    </row>
    <row r="5" spans="1:5" x14ac:dyDescent="0.25">
      <c r="A5" s="2" t="s">
        <v>61</v>
      </c>
      <c r="B5" s="2" t="s">
        <v>60</v>
      </c>
      <c r="C5" s="2" t="s">
        <v>52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51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50</v>
      </c>
    </row>
    <row r="8" spans="1:5" x14ac:dyDescent="0.25">
      <c r="A8" s="2" t="s">
        <v>59</v>
      </c>
      <c r="B8" s="2" t="s">
        <v>58</v>
      </c>
      <c r="C8" s="2" t="s">
        <v>52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51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 x14ac:dyDescent="0.25">
      <c r="A11" s="2" t="s">
        <v>56</v>
      </c>
      <c r="B11" s="2" t="s">
        <v>55</v>
      </c>
      <c r="C11" s="2" t="s">
        <v>52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 x14ac:dyDescent="0.25">
      <c r="A14" s="2" t="s">
        <v>54</v>
      </c>
      <c r="B14" s="2" t="s">
        <v>53</v>
      </c>
      <c r="C14" s="2" t="s">
        <v>52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6"/>
  <sheetViews>
    <sheetView workbookViewId="0">
      <selection activeCell="D16" sqref="D2: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7"/>
  <sheetViews>
    <sheetView workbookViewId="0">
      <selection activeCell="D16" sqref="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78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182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4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183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24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106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175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176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111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74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147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24</v>
      </c>
    </row>
    <row r="21" spans="1:1" ht="86.4" x14ac:dyDescent="0.25">
      <c r="A21" s="5" t="s">
        <v>178</v>
      </c>
    </row>
    <row r="23" spans="1:1" ht="144" x14ac:dyDescent="0.25">
      <c r="A23" s="5" t="s">
        <v>179</v>
      </c>
    </row>
    <row r="25" spans="1:1" ht="100.8" x14ac:dyDescent="0.25">
      <c r="A25" s="5" t="s">
        <v>180</v>
      </c>
    </row>
    <row r="27" spans="1:1" ht="158.4" x14ac:dyDescent="0.25">
      <c r="A27" s="5" t="s">
        <v>181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25"/>
  <sheetViews>
    <sheetView workbookViewId="0">
      <selection activeCell="D16" sqref="D16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174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175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176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177</v>
      </c>
    </row>
    <row r="21" spans="1:1" ht="118.8" x14ac:dyDescent="0.25">
      <c r="A21" s="4" t="s">
        <v>171</v>
      </c>
    </row>
    <row r="23" spans="1:1" ht="79.2" x14ac:dyDescent="0.25">
      <c r="A23" s="4" t="s">
        <v>172</v>
      </c>
    </row>
    <row r="25" spans="1:1" ht="145.19999999999999" x14ac:dyDescent="0.25">
      <c r="A25" s="4" t="s">
        <v>173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1" spans="1:1" ht="132" x14ac:dyDescent="0.25">
      <c r="A21" s="4" t="s">
        <v>168</v>
      </c>
    </row>
    <row r="23" spans="1:1" ht="118.8" x14ac:dyDescent="0.25">
      <c r="A23" s="4" t="s">
        <v>169</v>
      </c>
    </row>
    <row r="25" spans="1:1" ht="39.6" x14ac:dyDescent="0.25">
      <c r="A25" s="4" t="s">
        <v>170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5"/>
  <sheetViews>
    <sheetView workbookViewId="0">
      <selection activeCell="A21" sqref="A21:A2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164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1" spans="1:1" ht="79.2" x14ac:dyDescent="0.25">
      <c r="A21" s="4" t="s">
        <v>165</v>
      </c>
    </row>
    <row r="23" spans="1:1" ht="184.8" x14ac:dyDescent="0.25">
      <c r="A23" s="4" t="s">
        <v>166</v>
      </c>
    </row>
    <row r="25" spans="1:1" ht="171.6" x14ac:dyDescent="0.25">
      <c r="A25" s="4" t="s">
        <v>167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23"/>
  <sheetViews>
    <sheetView workbookViewId="0">
      <selection activeCell="A21" sqref="A21:A23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158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159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160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161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1" spans="1:1" ht="277.2" x14ac:dyDescent="0.25">
      <c r="A21" s="4" t="s">
        <v>162</v>
      </c>
    </row>
    <row r="23" spans="1:1" ht="224.4" x14ac:dyDescent="0.25">
      <c r="A23" s="4" t="s">
        <v>163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27"/>
  <sheetViews>
    <sheetView workbookViewId="0">
      <selection activeCell="A21" sqref="A21:A2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139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147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76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77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148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149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150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151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152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0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153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1" spans="1:1" ht="105.6" x14ac:dyDescent="0.25">
      <c r="A21" s="6" t="s">
        <v>154</v>
      </c>
    </row>
    <row r="23" spans="1:1" ht="118.8" x14ac:dyDescent="0.25">
      <c r="A23" s="6" t="s">
        <v>155</v>
      </c>
    </row>
    <row r="25" spans="1:1" ht="92.4" x14ac:dyDescent="0.25">
      <c r="A25" s="6" t="s">
        <v>156</v>
      </c>
    </row>
    <row r="27" spans="1:1" ht="145.19999999999999" x14ac:dyDescent="0.25">
      <c r="A27" s="6" t="s">
        <v>157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3"/>
  <sheetViews>
    <sheetView workbookViewId="0">
      <selection activeCell="A21" sqref="A21:A23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139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3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76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83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140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141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142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2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4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143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1" spans="1:1" ht="145.19999999999999" x14ac:dyDescent="0.25">
      <c r="A21" s="6" t="s">
        <v>144</v>
      </c>
    </row>
    <row r="22" spans="1:1" ht="184.8" x14ac:dyDescent="0.25">
      <c r="A22" s="6" t="s">
        <v>145</v>
      </c>
    </row>
    <row r="23" spans="1:1" ht="145.19999999999999" x14ac:dyDescent="0.25">
      <c r="A23" s="6" t="s">
        <v>146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16"/>
  <sheetViews>
    <sheetView workbookViewId="0">
      <selection activeCell="D2" sqref="D2:D17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129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130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114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131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112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132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133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7"/>
  <sheetViews>
    <sheetView workbookViewId="0">
      <selection activeCell="D5" sqref="D5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111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74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112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113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114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116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22" spans="1:1" ht="144" x14ac:dyDescent="0.25">
      <c r="A22" s="5" t="s">
        <v>134</v>
      </c>
    </row>
    <row r="24" spans="1:1" ht="158.4" x14ac:dyDescent="0.25">
      <c r="A24" s="5" t="s">
        <v>135</v>
      </c>
    </row>
    <row r="26" spans="1:1" ht="129.6" x14ac:dyDescent="0.25">
      <c r="A26" s="5" t="s">
        <v>136</v>
      </c>
    </row>
    <row r="27" spans="1:1" x14ac:dyDescent="0.25">
      <c r="A27" s="5"/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E30"/>
  <sheetViews>
    <sheetView workbookViewId="0">
      <selection activeCell="D12" sqref="D12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  <c r="D2" t="s">
        <v>111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  <c r="D3" t="s">
        <v>74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  <c r="D4" t="s">
        <v>112</v>
      </c>
    </row>
    <row r="5" spans="1:5" x14ac:dyDescent="0.25">
      <c r="A5" s="2" t="s">
        <v>15</v>
      </c>
      <c r="B5" s="2" t="s">
        <v>10</v>
      </c>
      <c r="C5" s="2" t="s">
        <v>6</v>
      </c>
      <c r="D5" t="s">
        <v>137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  <c r="D6" t="s">
        <v>138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  <c r="D7" t="s">
        <v>115</v>
      </c>
    </row>
    <row r="8" spans="1:5" x14ac:dyDescent="0.25">
      <c r="A8" s="2" t="s">
        <v>18</v>
      </c>
      <c r="B8" s="2" t="s">
        <v>11</v>
      </c>
      <c r="C8" s="2" t="s">
        <v>6</v>
      </c>
      <c r="D8" t="s">
        <v>116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  <c r="D9" t="s">
        <v>117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D10" t="s">
        <v>118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  <c r="D11" t="s">
        <v>119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  <c r="D12" t="s">
        <v>120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  <c r="D13" t="s">
        <v>121</v>
      </c>
    </row>
    <row r="14" spans="1:5" x14ac:dyDescent="0.25">
      <c r="A14" s="2" t="s">
        <v>16</v>
      </c>
      <c r="B14" s="2" t="s">
        <v>13</v>
      </c>
      <c r="C14" s="2" t="s">
        <v>6</v>
      </c>
      <c r="D14" t="s">
        <v>109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  <c r="D15" t="s">
        <v>76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  <c r="D16" t="s">
        <v>77</v>
      </c>
    </row>
    <row r="18" spans="1:1" ht="66" x14ac:dyDescent="0.25">
      <c r="A18" s="4" t="s">
        <v>122</v>
      </c>
    </row>
    <row r="20" spans="1:1" ht="26.4" x14ac:dyDescent="0.25">
      <c r="A20" s="4" t="s">
        <v>123</v>
      </c>
    </row>
    <row r="22" spans="1:1" ht="79.2" x14ac:dyDescent="0.25">
      <c r="A22" s="4" t="s">
        <v>124</v>
      </c>
    </row>
    <row r="24" spans="1:1" ht="66" x14ac:dyDescent="0.25">
      <c r="A24" s="4" t="s">
        <v>125</v>
      </c>
    </row>
    <row r="26" spans="1:1" ht="145.19999999999999" x14ac:dyDescent="0.25">
      <c r="A26" s="4" t="s">
        <v>126</v>
      </c>
    </row>
    <row r="28" spans="1:1" ht="105.6" x14ac:dyDescent="0.25">
      <c r="A28" s="4" t="s">
        <v>127</v>
      </c>
    </row>
    <row r="30" spans="1:1" ht="118.8" x14ac:dyDescent="0.25">
      <c r="A30" s="4" t="s">
        <v>128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E16"/>
  <sheetViews>
    <sheetView workbookViewId="0">
      <selection activeCell="O11" sqref="O11"/>
    </sheetView>
  </sheetViews>
  <sheetFormatPr defaultRowHeight="14.4" x14ac:dyDescent="0.25"/>
  <cols>
    <col min="1" max="1" width="11.21875" customWidth="1"/>
    <col min="2" max="2" width="11.109375" customWidth="1"/>
    <col min="4" max="4" width="18.6640625" customWidth="1"/>
    <col min="5" max="5" width="14.88671875" customWidth="1"/>
  </cols>
  <sheetData>
    <row r="1" spans="1:5" x14ac:dyDescent="0.2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 x14ac:dyDescent="0.25">
      <c r="A2" s="2" t="s">
        <v>14</v>
      </c>
      <c r="B2" s="2" t="s">
        <v>9</v>
      </c>
      <c r="C2" s="2" t="s">
        <v>6</v>
      </c>
    </row>
    <row r="3" spans="1:5" x14ac:dyDescent="0.25">
      <c r="A3" s="2" t="str">
        <f>A2</f>
        <v>华北-华东</v>
      </c>
      <c r="B3" s="2" t="str">
        <f>B2</f>
        <v>大连-江阴</v>
      </c>
      <c r="C3" s="2" t="s">
        <v>7</v>
      </c>
    </row>
    <row r="4" spans="1:5" x14ac:dyDescent="0.25">
      <c r="A4" s="2" t="str">
        <f>A3</f>
        <v>华北-华东</v>
      </c>
      <c r="B4" s="2" t="str">
        <f>B3</f>
        <v>大连-江阴</v>
      </c>
      <c r="C4" s="2" t="s">
        <v>8</v>
      </c>
    </row>
    <row r="5" spans="1:5" x14ac:dyDescent="0.25">
      <c r="A5" s="2" t="s">
        <v>15</v>
      </c>
      <c r="B5" s="2" t="s">
        <v>10</v>
      </c>
      <c r="C5" s="2" t="s">
        <v>6</v>
      </c>
    </row>
    <row r="6" spans="1:5" x14ac:dyDescent="0.25">
      <c r="A6" s="2" t="str">
        <f>A5</f>
        <v>华东-华北</v>
      </c>
      <c r="B6" s="2" t="str">
        <f>B5</f>
        <v>江阴-大连</v>
      </c>
      <c r="C6" s="2" t="s">
        <v>7</v>
      </c>
    </row>
    <row r="7" spans="1:5" x14ac:dyDescent="0.25">
      <c r="A7" s="2" t="str">
        <f>A6</f>
        <v>华东-华北</v>
      </c>
      <c r="B7" s="2" t="str">
        <f>B6</f>
        <v>江阴-大连</v>
      </c>
      <c r="C7" s="2" t="s">
        <v>8</v>
      </c>
    </row>
    <row r="8" spans="1:5" x14ac:dyDescent="0.25">
      <c r="A8" s="2" t="s">
        <v>18</v>
      </c>
      <c r="B8" s="2" t="s">
        <v>11</v>
      </c>
      <c r="C8" s="2" t="s">
        <v>6</v>
      </c>
    </row>
    <row r="9" spans="1:5" x14ac:dyDescent="0.25">
      <c r="A9" s="2" t="str">
        <f>A8</f>
        <v>华北-华南</v>
      </c>
      <c r="B9" s="2" t="str">
        <f>B8</f>
        <v>大连-东莞</v>
      </c>
      <c r="C9" s="2" t="s">
        <v>7</v>
      </c>
    </row>
    <row r="10" spans="1:5" x14ac:dyDescent="0.25">
      <c r="A10" s="2" t="str">
        <f>A9</f>
        <v>华北-华南</v>
      </c>
      <c r="B10" s="2" t="str">
        <f>B9</f>
        <v>大连-东莞</v>
      </c>
      <c r="C10" s="2" t="s">
        <v>8</v>
      </c>
      <c r="E10" s="1"/>
    </row>
    <row r="11" spans="1:5" x14ac:dyDescent="0.25">
      <c r="A11" s="2" t="s">
        <v>17</v>
      </c>
      <c r="B11" s="2" t="s">
        <v>12</v>
      </c>
      <c r="C11" s="2" t="s">
        <v>6</v>
      </c>
    </row>
    <row r="12" spans="1:5" x14ac:dyDescent="0.25">
      <c r="A12" s="2" t="str">
        <f>A11</f>
        <v>华东-华南</v>
      </c>
      <c r="B12" s="2" t="str">
        <f>B11</f>
        <v>江阴-东莞</v>
      </c>
      <c r="C12" s="2" t="s">
        <v>7</v>
      </c>
    </row>
    <row r="13" spans="1:5" x14ac:dyDescent="0.25">
      <c r="A13" s="2" t="str">
        <f>A12</f>
        <v>华东-华南</v>
      </c>
      <c r="B13" s="2" t="str">
        <f>B12</f>
        <v>江阴-东莞</v>
      </c>
      <c r="C13" s="2" t="s">
        <v>8</v>
      </c>
    </row>
    <row r="14" spans="1:5" x14ac:dyDescent="0.25">
      <c r="A14" s="2" t="s">
        <v>16</v>
      </c>
      <c r="B14" s="2" t="s">
        <v>13</v>
      </c>
      <c r="C14" s="2" t="s">
        <v>6</v>
      </c>
    </row>
    <row r="15" spans="1:5" x14ac:dyDescent="0.25">
      <c r="A15" s="2" t="str">
        <f>A14</f>
        <v>华南-华东</v>
      </c>
      <c r="B15" s="2" t="str">
        <f>B14</f>
        <v>茂名-江阴</v>
      </c>
      <c r="C15" s="2" t="s">
        <v>7</v>
      </c>
    </row>
    <row r="16" spans="1:5" x14ac:dyDescent="0.25">
      <c r="A16" s="2" t="str">
        <f>A15</f>
        <v>华南-华东</v>
      </c>
      <c r="B16" s="2" t="str">
        <f>B15</f>
        <v>茂名-江阴</v>
      </c>
      <c r="C16" s="2" t="s"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12月4周 </vt:lpstr>
      <vt:lpstr>12月3周</vt:lpstr>
      <vt:lpstr>12月2周</vt:lpstr>
      <vt:lpstr>12月1周</vt:lpstr>
      <vt:lpstr>11月5周</vt:lpstr>
      <vt:lpstr>11月4周</vt:lpstr>
      <vt:lpstr>11月3周</vt:lpstr>
      <vt:lpstr>11月2周</vt:lpstr>
      <vt:lpstr>11月1周</vt:lpstr>
      <vt:lpstr>10月5周</vt:lpstr>
      <vt:lpstr>10月4周</vt:lpstr>
      <vt:lpstr>10月3周</vt:lpstr>
      <vt:lpstr>10月2周</vt:lpstr>
      <vt:lpstr>10月1周</vt:lpstr>
      <vt:lpstr>9月5周</vt:lpstr>
      <vt:lpstr>9月4周</vt:lpstr>
      <vt:lpstr>9月3周</vt:lpstr>
      <vt:lpstr>9月2周</vt:lpstr>
      <vt:lpstr>9月1周</vt:lpstr>
      <vt:lpstr>8月5周</vt:lpstr>
      <vt:lpstr>8月4周</vt:lpstr>
      <vt:lpstr>8月3周</vt:lpstr>
      <vt:lpstr>8月2周</vt:lpstr>
      <vt:lpstr>8月1周</vt:lpstr>
      <vt:lpstr>7月5周</vt:lpstr>
      <vt:lpstr>7月4周</vt:lpstr>
      <vt:lpstr>7月3周</vt:lpstr>
      <vt:lpstr>7月2周</vt:lpstr>
      <vt:lpstr>7月1周</vt:lpstr>
      <vt:lpstr>6月5周</vt:lpstr>
      <vt:lpstr>6月4周</vt:lpstr>
      <vt:lpstr>6月3周</vt:lpstr>
      <vt:lpstr>6月2周</vt:lpstr>
      <vt:lpstr>6月1周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YanHai Cao</cp:lastModifiedBy>
  <dcterms:created xsi:type="dcterms:W3CDTF">2017-12-25T07:20:18Z</dcterms:created>
  <dcterms:modified xsi:type="dcterms:W3CDTF">2018-01-14T13:41:09Z</dcterms:modified>
</cp:coreProperties>
</file>