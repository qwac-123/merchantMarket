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5" windowWidth="20415" windowHeight="8895"/>
  </bookViews>
  <sheets>
    <sheet name="12月3周" sheetId="5" r:id="rId1"/>
    <sheet name="12月2周" sheetId="22" r:id="rId2"/>
    <sheet name="12月1周" sheetId="6" r:id="rId3"/>
    <sheet name="11月5周" sheetId="7" r:id="rId4"/>
    <sheet name="11月4周" sheetId="8" r:id="rId5"/>
    <sheet name="11月3周" sheetId="9" r:id="rId6"/>
    <sheet name="11月2周" sheetId="10" r:id="rId7"/>
    <sheet name="11月1周" sheetId="11" r:id="rId8"/>
    <sheet name="10月5周" sheetId="12" r:id="rId9"/>
    <sheet name="10月4周" sheetId="13" r:id="rId10"/>
    <sheet name="10月3周" sheetId="14" r:id="rId11"/>
    <sheet name="10月2周" sheetId="15" r:id="rId12"/>
    <sheet name="10月1周" sheetId="16" r:id="rId13"/>
    <sheet name="9月5周" sheetId="17" r:id="rId14"/>
    <sheet name="9月4周" sheetId="18" r:id="rId15"/>
    <sheet name="9月3周" sheetId="19" r:id="rId16"/>
    <sheet name="9月2周" sheetId="20" r:id="rId17"/>
    <sheet name="9月1周" sheetId="21" r:id="rId18"/>
  </sheets>
  <calcPr calcId="124519"/>
</workbook>
</file>

<file path=xl/calcChain.xml><?xml version="1.0" encoding="utf-8"?>
<calcChain xmlns="http://schemas.openxmlformats.org/spreadsheetml/2006/main">
  <c r="B15" i="22"/>
  <c r="B16" s="1"/>
  <c r="A15"/>
  <c r="A16" s="1"/>
  <c r="B12"/>
  <c r="B13" s="1"/>
  <c r="A12"/>
  <c r="A13" s="1"/>
  <c r="B9"/>
  <c r="B10" s="1"/>
  <c r="A9"/>
  <c r="A10" s="1"/>
  <c r="B6"/>
  <c r="B7" s="1"/>
  <c r="A6"/>
  <c r="A7" s="1"/>
  <c r="B3"/>
  <c r="B4" s="1"/>
  <c r="A3"/>
  <c r="A4" s="1"/>
  <c r="B16" i="21"/>
  <c r="B15"/>
  <c r="A15"/>
  <c r="A16" s="1"/>
  <c r="B13"/>
  <c r="B12"/>
  <c r="A12"/>
  <c r="A13" s="1"/>
  <c r="B10"/>
  <c r="B9"/>
  <c r="A9"/>
  <c r="A10" s="1"/>
  <c r="B7"/>
  <c r="B6"/>
  <c r="A6"/>
  <c r="A7" s="1"/>
  <c r="B4"/>
  <c r="B3"/>
  <c r="A3"/>
  <c r="A4" s="1"/>
  <c r="B15" i="20"/>
  <c r="B16" s="1"/>
  <c r="A15"/>
  <c r="A16" s="1"/>
  <c r="B12"/>
  <c r="B13" s="1"/>
  <c r="A12"/>
  <c r="A13" s="1"/>
  <c r="B9"/>
  <c r="B10" s="1"/>
  <c r="A9"/>
  <c r="A10" s="1"/>
  <c r="B6"/>
  <c r="B7" s="1"/>
  <c r="A6"/>
  <c r="A7" s="1"/>
  <c r="B3"/>
  <c r="B4" s="1"/>
  <c r="A3"/>
  <c r="A4" s="1"/>
  <c r="B15" i="19"/>
  <c r="B16" s="1"/>
  <c r="A15"/>
  <c r="A16" s="1"/>
  <c r="B12"/>
  <c r="B13" s="1"/>
  <c r="A12"/>
  <c r="A13" s="1"/>
  <c r="B9"/>
  <c r="B10" s="1"/>
  <c r="A9"/>
  <c r="A10" s="1"/>
  <c r="B6"/>
  <c r="B7" s="1"/>
  <c r="A6"/>
  <c r="A7" s="1"/>
  <c r="B3"/>
  <c r="B4" s="1"/>
  <c r="A3"/>
  <c r="A4" s="1"/>
  <c r="B16" i="18"/>
  <c r="B15"/>
  <c r="A15"/>
  <c r="A16" s="1"/>
  <c r="B13"/>
  <c r="B12"/>
  <c r="A12"/>
  <c r="A13" s="1"/>
  <c r="B10"/>
  <c r="B9"/>
  <c r="A9"/>
  <c r="A10" s="1"/>
  <c r="B7"/>
  <c r="B6"/>
  <c r="A6"/>
  <c r="A7" s="1"/>
  <c r="B4"/>
  <c r="B3"/>
  <c r="A3"/>
  <c r="A4" s="1"/>
  <c r="B16" i="17"/>
  <c r="B15"/>
  <c r="A15"/>
  <c r="A16" s="1"/>
  <c r="B13"/>
  <c r="B12"/>
  <c r="A12"/>
  <c r="A13" s="1"/>
  <c r="B10"/>
  <c r="B9"/>
  <c r="A9"/>
  <c r="A10" s="1"/>
  <c r="B7"/>
  <c r="B6"/>
  <c r="A6"/>
  <c r="A7" s="1"/>
  <c r="B4"/>
  <c r="B3"/>
  <c r="A3"/>
  <c r="A4" s="1"/>
  <c r="B15" i="16"/>
  <c r="B16" s="1"/>
  <c r="A15"/>
  <c r="A16" s="1"/>
  <c r="B12"/>
  <c r="B13" s="1"/>
  <c r="A12"/>
  <c r="A13" s="1"/>
  <c r="B9"/>
  <c r="B10" s="1"/>
  <c r="A9"/>
  <c r="A10" s="1"/>
  <c r="B6"/>
  <c r="B7" s="1"/>
  <c r="A6"/>
  <c r="A7" s="1"/>
  <c r="B3"/>
  <c r="B4" s="1"/>
  <c r="A3"/>
  <c r="A4" s="1"/>
  <c r="A16" i="15"/>
  <c r="B15"/>
  <c r="B16" s="1"/>
  <c r="A15"/>
  <c r="A13"/>
  <c r="B12"/>
  <c r="B13" s="1"/>
  <c r="A12"/>
  <c r="A10"/>
  <c r="B9"/>
  <c r="B10" s="1"/>
  <c r="A9"/>
  <c r="A7"/>
  <c r="B6"/>
  <c r="B7" s="1"/>
  <c r="A6"/>
  <c r="A4"/>
  <c r="B3"/>
  <c r="B4" s="1"/>
  <c r="A3"/>
  <c r="B16" i="14"/>
  <c r="A16"/>
  <c r="B15"/>
  <c r="A15"/>
  <c r="B13"/>
  <c r="A13"/>
  <c r="B12"/>
  <c r="A12"/>
  <c r="B10"/>
  <c r="A10"/>
  <c r="B9"/>
  <c r="A9"/>
  <c r="B7"/>
  <c r="A7"/>
  <c r="B6"/>
  <c r="A6"/>
  <c r="B4"/>
  <c r="A4"/>
  <c r="B3"/>
  <c r="A3"/>
  <c r="A16" i="13"/>
  <c r="B15"/>
  <c r="B16" s="1"/>
  <c r="A15"/>
  <c r="A13"/>
  <c r="B12"/>
  <c r="B13" s="1"/>
  <c r="A12"/>
  <c r="A10"/>
  <c r="B9"/>
  <c r="B10" s="1"/>
  <c r="A9"/>
  <c r="A7"/>
  <c r="B6"/>
  <c r="B7" s="1"/>
  <c r="A6"/>
  <c r="A4"/>
  <c r="B3"/>
  <c r="B4" s="1"/>
  <c r="A3"/>
  <c r="A16" i="12"/>
  <c r="B15"/>
  <c r="B16" s="1"/>
  <c r="A15"/>
  <c r="A13"/>
  <c r="B12"/>
  <c r="B13" s="1"/>
  <c r="A12"/>
  <c r="A10"/>
  <c r="B9"/>
  <c r="B10" s="1"/>
  <c r="A9"/>
  <c r="A7"/>
  <c r="B6"/>
  <c r="B7" s="1"/>
  <c r="A6"/>
  <c r="A4"/>
  <c r="B3"/>
  <c r="B4" s="1"/>
  <c r="A3"/>
  <c r="B15" i="11"/>
  <c r="B16" s="1"/>
  <c r="A15"/>
  <c r="A16" s="1"/>
  <c r="B12"/>
  <c r="B13" s="1"/>
  <c r="A12"/>
  <c r="A13" s="1"/>
  <c r="B9"/>
  <c r="B10" s="1"/>
  <c r="A9"/>
  <c r="A10" s="1"/>
  <c r="B6"/>
  <c r="B7" s="1"/>
  <c r="A6"/>
  <c r="A7" s="1"/>
  <c r="B3"/>
  <c r="B4" s="1"/>
  <c r="A3"/>
  <c r="A4" s="1"/>
  <c r="B15" i="10"/>
  <c r="B16" s="1"/>
  <c r="A15"/>
  <c r="A16" s="1"/>
  <c r="B12"/>
  <c r="B13" s="1"/>
  <c r="A12"/>
  <c r="A13" s="1"/>
  <c r="B9"/>
  <c r="B10" s="1"/>
  <c r="A9"/>
  <c r="A10" s="1"/>
  <c r="B6"/>
  <c r="B7" s="1"/>
  <c r="A6"/>
  <c r="A7" s="1"/>
  <c r="B3"/>
  <c r="B4" s="1"/>
  <c r="A3"/>
  <c r="A4" s="1"/>
  <c r="A16" i="9"/>
  <c r="B15"/>
  <c r="B16" s="1"/>
  <c r="A15"/>
  <c r="A13"/>
  <c r="B12"/>
  <c r="B13" s="1"/>
  <c r="A12"/>
  <c r="A10"/>
  <c r="B9"/>
  <c r="B10" s="1"/>
  <c r="A9"/>
  <c r="A7"/>
  <c r="B6"/>
  <c r="B7" s="1"/>
  <c r="A6"/>
  <c r="A4"/>
  <c r="B3"/>
  <c r="B4" s="1"/>
  <c r="A3"/>
  <c r="B16" i="8"/>
  <c r="B15"/>
  <c r="A15"/>
  <c r="A16" s="1"/>
  <c r="B13"/>
  <c r="B12"/>
  <c r="A12"/>
  <c r="A13" s="1"/>
  <c r="B10"/>
  <c r="B9"/>
  <c r="A9"/>
  <c r="A10" s="1"/>
  <c r="B7"/>
  <c r="B6"/>
  <c r="A6"/>
  <c r="A7" s="1"/>
  <c r="B4"/>
  <c r="B3"/>
  <c r="A3"/>
  <c r="A4" s="1"/>
  <c r="A16" i="7"/>
  <c r="B15"/>
  <c r="B16" s="1"/>
  <c r="A15"/>
  <c r="B13"/>
  <c r="A13"/>
  <c r="B12"/>
  <c r="A12"/>
  <c r="B10"/>
  <c r="A10"/>
  <c r="B9"/>
  <c r="A9"/>
  <c r="B7"/>
  <c r="A7"/>
  <c r="B6"/>
  <c r="A6"/>
  <c r="B4"/>
  <c r="A4"/>
  <c r="B3"/>
  <c r="A3"/>
  <c r="A3" i="6"/>
  <c r="A4" s="1"/>
  <c r="B3"/>
  <c r="B4" s="1"/>
  <c r="A6"/>
  <c r="A7" s="1"/>
  <c r="B6"/>
  <c r="B7" s="1"/>
  <c r="A9"/>
  <c r="A10" s="1"/>
  <c r="B9"/>
  <c r="B10" s="1"/>
  <c r="A12"/>
  <c r="A13" s="1"/>
  <c r="B12"/>
  <c r="B13" s="1"/>
  <c r="A15"/>
  <c r="A16" s="1"/>
  <c r="B15"/>
  <c r="B16" s="1"/>
  <c r="A3" i="5"/>
  <c r="A4" s="1"/>
  <c r="B3"/>
  <c r="B4" s="1"/>
  <c r="A6"/>
  <c r="A7" s="1"/>
  <c r="B6"/>
  <c r="B7" s="1"/>
  <c r="A9"/>
  <c r="A10" s="1"/>
  <c r="B9"/>
  <c r="B10" s="1"/>
  <c r="A12"/>
  <c r="A13" s="1"/>
  <c r="B12"/>
  <c r="B13" s="1"/>
  <c r="A15"/>
  <c r="A16" s="1"/>
  <c r="B15"/>
  <c r="B16" s="1"/>
</calcChain>
</file>

<file path=xl/sharedStrings.xml><?xml version="1.0" encoding="utf-8"?>
<sst xmlns="http://schemas.openxmlformats.org/spreadsheetml/2006/main" count="642" uniqueCount="103">
  <si>
    <t>165-185</t>
  </si>
  <si>
    <t>210-230</t>
  </si>
  <si>
    <t>190-210</t>
  </si>
  <si>
    <t>155-175</t>
  </si>
  <si>
    <t>145-165</t>
  </si>
  <si>
    <t>120- 140</t>
  </si>
  <si>
    <t>2KT</t>
    <phoneticPr fontId="1" type="noConversion"/>
  </si>
  <si>
    <t>3KT</t>
    <phoneticPr fontId="1" type="noConversion"/>
  </si>
  <si>
    <t>5KT</t>
    <phoneticPr fontId="1" type="noConversion"/>
  </si>
  <si>
    <t>大连-江阴</t>
    <phoneticPr fontId="1" type="noConversion"/>
  </si>
  <si>
    <t>江阴-大连</t>
    <phoneticPr fontId="1" type="noConversion"/>
  </si>
  <si>
    <t>大连-东莞</t>
    <phoneticPr fontId="1" type="noConversion"/>
  </si>
  <si>
    <t>江阴-东莞</t>
    <phoneticPr fontId="1" type="noConversion"/>
  </si>
  <si>
    <t>茂名-江阴</t>
    <phoneticPr fontId="1" type="noConversion"/>
  </si>
  <si>
    <t>华北-华东</t>
    <phoneticPr fontId="1" type="noConversion"/>
  </si>
  <si>
    <t>华东-华北</t>
    <phoneticPr fontId="1" type="noConversion"/>
  </si>
  <si>
    <t>华南-华东</t>
    <phoneticPr fontId="1" type="noConversion"/>
  </si>
  <si>
    <t>华东-华南</t>
    <phoneticPr fontId="1" type="noConversion"/>
  </si>
  <si>
    <t>华北-华南</t>
    <phoneticPr fontId="1" type="noConversion"/>
  </si>
  <si>
    <t>主要航线</t>
    <phoneticPr fontId="1" type="noConversion"/>
  </si>
  <si>
    <t>主要船型</t>
    <phoneticPr fontId="1" type="noConversion"/>
  </si>
  <si>
    <t>运价范围（元/吨）</t>
    <phoneticPr fontId="1" type="noConversion"/>
  </si>
  <si>
    <t>涨跌幅（元/吨）</t>
    <phoneticPr fontId="1" type="noConversion"/>
  </si>
  <si>
    <t>135-150</t>
  </si>
  <si>
    <t>120-130</t>
  </si>
  <si>
    <t>120-140</t>
  </si>
  <si>
    <t>180-2 05</t>
    <phoneticPr fontId="1" type="noConversion"/>
  </si>
  <si>
    <t>165-185</t>
    <phoneticPr fontId="1" type="noConversion"/>
  </si>
  <si>
    <t>150 16 5</t>
    <phoneticPr fontId="1" type="noConversion"/>
  </si>
  <si>
    <t>150- 165</t>
    <phoneticPr fontId="1" type="noConversion"/>
  </si>
  <si>
    <t>135-150</t>
    <phoneticPr fontId="1" type="noConversion"/>
  </si>
  <si>
    <t>120-130</t>
    <phoneticPr fontId="1" type="noConversion"/>
  </si>
  <si>
    <t>360-375</t>
    <phoneticPr fontId="1" type="noConversion"/>
  </si>
  <si>
    <t>3 15-3 30</t>
    <phoneticPr fontId="1" type="noConversion"/>
  </si>
  <si>
    <t>220-240</t>
    <phoneticPr fontId="1" type="noConversion"/>
  </si>
  <si>
    <t>210-230</t>
    <phoneticPr fontId="1" type="noConversion"/>
  </si>
  <si>
    <t>190-2 10</t>
    <phoneticPr fontId="1" type="noConversion"/>
  </si>
  <si>
    <t>1 70 190</t>
    <phoneticPr fontId="1" type="noConversion"/>
  </si>
  <si>
    <t>155-175</t>
    <phoneticPr fontId="1" type="noConversion"/>
  </si>
  <si>
    <t>145-165</t>
    <phoneticPr fontId="1" type="noConversion"/>
  </si>
  <si>
    <t>120-140</t>
    <phoneticPr fontId="1" type="noConversion"/>
  </si>
  <si>
    <t>180- 195</t>
  </si>
  <si>
    <t>160- 180</t>
  </si>
  <si>
    <t>145-160</t>
  </si>
  <si>
    <t>135- 150</t>
  </si>
  <si>
    <t>355-370</t>
  </si>
  <si>
    <t>215-240</t>
  </si>
  <si>
    <t>205-225</t>
  </si>
  <si>
    <t>185-205</t>
  </si>
  <si>
    <t>310-3 30</t>
  </si>
  <si>
    <t>5KT</t>
    <phoneticPr fontId="1" type="noConversion"/>
  </si>
  <si>
    <t>3KT</t>
    <phoneticPr fontId="1" type="noConversion"/>
  </si>
  <si>
    <t>2KT</t>
    <phoneticPr fontId="1" type="noConversion"/>
  </si>
  <si>
    <t>茂名-江阴</t>
    <phoneticPr fontId="1" type="noConversion"/>
  </si>
  <si>
    <t>华南-华东</t>
    <phoneticPr fontId="1" type="noConversion"/>
  </si>
  <si>
    <t>江阴-东莞</t>
    <phoneticPr fontId="1" type="noConversion"/>
  </si>
  <si>
    <t>华东-华南</t>
    <phoneticPr fontId="1" type="noConversion"/>
  </si>
  <si>
    <t>310-3 30</t>
    <phoneticPr fontId="1" type="noConversion"/>
  </si>
  <si>
    <t>大连-东莞</t>
    <phoneticPr fontId="1" type="noConversion"/>
  </si>
  <si>
    <t>华北-华南</t>
    <phoneticPr fontId="1" type="noConversion"/>
  </si>
  <si>
    <t>江阴-大连</t>
    <phoneticPr fontId="1" type="noConversion"/>
  </si>
  <si>
    <t>华东-华北</t>
    <phoneticPr fontId="1" type="noConversion"/>
  </si>
  <si>
    <t>大连-江阴</t>
    <phoneticPr fontId="1" type="noConversion"/>
  </si>
  <si>
    <t>华北-华东</t>
    <phoneticPr fontId="1" type="noConversion"/>
  </si>
  <si>
    <t>涨跌幅（元/吨）</t>
    <phoneticPr fontId="1" type="noConversion"/>
  </si>
  <si>
    <t>运价范围（元/吨）</t>
    <phoneticPr fontId="1" type="noConversion"/>
  </si>
  <si>
    <t>主要船型</t>
    <phoneticPr fontId="1" type="noConversion"/>
  </si>
  <si>
    <t>主要航线</t>
    <phoneticPr fontId="1" type="noConversion"/>
  </si>
  <si>
    <t>175-195</t>
  </si>
  <si>
    <t>140- 160</t>
  </si>
  <si>
    <t>135-1 50</t>
  </si>
  <si>
    <t>350-370</t>
  </si>
  <si>
    <t>230-240</t>
  </si>
  <si>
    <t>165-180</t>
  </si>
  <si>
    <t>150-170</t>
  </si>
  <si>
    <t>140-1 60</t>
  </si>
  <si>
    <t>130-150</t>
  </si>
  <si>
    <t>115-125</t>
  </si>
  <si>
    <t>180-200</t>
  </si>
  <si>
    <t>150-165</t>
  </si>
  <si>
    <t>310-330</t>
  </si>
  <si>
    <t>170- 190</t>
  </si>
  <si>
    <t>160- 185</t>
  </si>
  <si>
    <t>155-165</t>
  </si>
  <si>
    <t>240-260</t>
  </si>
  <si>
    <t>210-225</t>
  </si>
  <si>
    <t>185-210</t>
  </si>
  <si>
    <t>170- 180</t>
  </si>
  <si>
    <t>150- 170</t>
  </si>
  <si>
    <t>130-1 50</t>
  </si>
  <si>
    <t>140-150</t>
    <phoneticPr fontId="1" type="noConversion"/>
  </si>
  <si>
    <t>3 10-3 30</t>
    <phoneticPr fontId="1" type="noConversion"/>
  </si>
  <si>
    <t>140-160</t>
  </si>
  <si>
    <t>140 150</t>
  </si>
  <si>
    <t>120 1 30</t>
  </si>
  <si>
    <t>305-325</t>
  </si>
  <si>
    <t>170 180</t>
  </si>
  <si>
    <t>130- 150</t>
  </si>
  <si>
    <t>140 160</t>
  </si>
  <si>
    <t>310-3 0</t>
  </si>
  <si>
    <t>2 30-240</t>
  </si>
  <si>
    <t>165- 1 80</t>
  </si>
  <si>
    <t>1 30 1 50</t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</si>
</sst>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6"/>
  <sheetViews>
    <sheetView tabSelected="1" workbookViewId="0">
      <selection activeCell="G18" sqref="G18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19</v>
      </c>
      <c r="C1" s="2" t="s">
        <v>20</v>
      </c>
      <c r="D1" s="2" t="s">
        <v>21</v>
      </c>
      <c r="E1" s="2" t="s">
        <v>22</v>
      </c>
    </row>
    <row r="2" spans="1:5">
      <c r="A2" s="2" t="s">
        <v>14</v>
      </c>
      <c r="B2" s="2" t="s">
        <v>9</v>
      </c>
      <c r="C2" s="2" t="s">
        <v>6</v>
      </c>
      <c r="D2" s="3" t="s">
        <v>26</v>
      </c>
      <c r="E2" s="3"/>
    </row>
    <row r="3" spans="1:5">
      <c r="A3" s="2" t="str">
        <f>A2</f>
        <v>华北-华东</v>
      </c>
      <c r="B3" s="2" t="str">
        <f>B2</f>
        <v>大连-江阴</v>
      </c>
      <c r="C3" s="2" t="s">
        <v>7</v>
      </c>
      <c r="D3" s="3" t="s">
        <v>27</v>
      </c>
      <c r="E3" s="3"/>
    </row>
    <row r="4" spans="1:5">
      <c r="A4" s="2" t="str">
        <f>A3</f>
        <v>华北-华东</v>
      </c>
      <c r="B4" s="2" t="str">
        <f>B3</f>
        <v>大连-江阴</v>
      </c>
      <c r="C4" s="2" t="s">
        <v>8</v>
      </c>
      <c r="D4" s="3" t="s">
        <v>28</v>
      </c>
      <c r="E4" s="3"/>
    </row>
    <row r="5" spans="1:5">
      <c r="A5" s="2" t="s">
        <v>15</v>
      </c>
      <c r="B5" s="2" t="s">
        <v>10</v>
      </c>
      <c r="C5" s="2" t="s">
        <v>6</v>
      </c>
      <c r="D5" s="3" t="s">
        <v>29</v>
      </c>
      <c r="E5" s="3"/>
    </row>
    <row r="6" spans="1:5">
      <c r="A6" s="2" t="str">
        <f>A5</f>
        <v>华东-华北</v>
      </c>
      <c r="B6" s="2" t="str">
        <f>B5</f>
        <v>江阴-大连</v>
      </c>
      <c r="C6" s="2" t="s">
        <v>7</v>
      </c>
      <c r="D6" s="3" t="s">
        <v>30</v>
      </c>
      <c r="E6" s="3"/>
    </row>
    <row r="7" spans="1:5">
      <c r="A7" s="2" t="str">
        <f>A6</f>
        <v>华东-华北</v>
      </c>
      <c r="B7" s="2" t="str">
        <f>B6</f>
        <v>江阴-大连</v>
      </c>
      <c r="C7" s="2" t="s">
        <v>8</v>
      </c>
      <c r="D7" s="3" t="s">
        <v>31</v>
      </c>
      <c r="E7" s="3"/>
    </row>
    <row r="8" spans="1:5">
      <c r="A8" s="2" t="s">
        <v>18</v>
      </c>
      <c r="B8" s="2" t="s">
        <v>11</v>
      </c>
      <c r="C8" s="2" t="s">
        <v>6</v>
      </c>
      <c r="D8" s="3" t="s">
        <v>32</v>
      </c>
      <c r="E8" s="3"/>
    </row>
    <row r="9" spans="1:5">
      <c r="A9" s="2" t="str">
        <f>A8</f>
        <v>华北-华南</v>
      </c>
      <c r="B9" s="2" t="str">
        <f>B8</f>
        <v>大连-东莞</v>
      </c>
      <c r="C9" s="2" t="s">
        <v>7</v>
      </c>
      <c r="D9" s="3" t="s">
        <v>33</v>
      </c>
      <c r="E9" s="3"/>
    </row>
    <row r="10" spans="1:5">
      <c r="A10" s="2" t="str">
        <f>A9</f>
        <v>华北-华南</v>
      </c>
      <c r="B10" s="2" t="str">
        <f>B9</f>
        <v>大连-东莞</v>
      </c>
      <c r="C10" s="2" t="s">
        <v>8</v>
      </c>
      <c r="D10" s="3" t="s">
        <v>34</v>
      </c>
      <c r="E10" s="3"/>
    </row>
    <row r="11" spans="1:5">
      <c r="A11" s="2" t="s">
        <v>17</v>
      </c>
      <c r="B11" s="2" t="s">
        <v>12</v>
      </c>
      <c r="C11" s="2" t="s">
        <v>6</v>
      </c>
      <c r="D11" s="3" t="s">
        <v>35</v>
      </c>
      <c r="E11" s="3"/>
    </row>
    <row r="12" spans="1:5">
      <c r="A12" s="2" t="str">
        <f>A11</f>
        <v>华东-华南</v>
      </c>
      <c r="B12" s="2" t="str">
        <f>B11</f>
        <v>江阴-东莞</v>
      </c>
      <c r="C12" s="2" t="s">
        <v>7</v>
      </c>
      <c r="D12" s="3" t="s">
        <v>36</v>
      </c>
      <c r="E12" s="3"/>
    </row>
    <row r="13" spans="1:5">
      <c r="A13" s="2" t="str">
        <f>A12</f>
        <v>华东-华南</v>
      </c>
      <c r="B13" s="2" t="str">
        <f>B12</f>
        <v>江阴-东莞</v>
      </c>
      <c r="C13" s="2" t="s">
        <v>8</v>
      </c>
      <c r="D13" s="3" t="s">
        <v>37</v>
      </c>
      <c r="E13" s="3"/>
    </row>
    <row r="14" spans="1:5">
      <c r="A14" s="2" t="s">
        <v>16</v>
      </c>
      <c r="B14" s="2" t="s">
        <v>13</v>
      </c>
      <c r="C14" s="2" t="s">
        <v>6</v>
      </c>
      <c r="D14" s="3" t="s">
        <v>38</v>
      </c>
      <c r="E14" s="3"/>
    </row>
    <row r="15" spans="1:5">
      <c r="A15" s="2" t="str">
        <f>A14</f>
        <v>华南-华东</v>
      </c>
      <c r="B15" s="2" t="str">
        <f>B14</f>
        <v>茂名-江阴</v>
      </c>
      <c r="C15" s="2" t="s">
        <v>7</v>
      </c>
      <c r="D15" s="3" t="s">
        <v>39</v>
      </c>
      <c r="E15" s="3"/>
    </row>
    <row r="16" spans="1:5">
      <c r="A16" s="2" t="str">
        <f>A15</f>
        <v>华南-华东</v>
      </c>
      <c r="B16" s="2" t="str">
        <f>B15</f>
        <v>茂名-江阴</v>
      </c>
      <c r="C16" s="2" t="s">
        <v>8</v>
      </c>
      <c r="D16" s="3" t="s">
        <v>40</v>
      </c>
      <c r="E16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8"/>
  <dimension ref="A1:E16"/>
  <sheetViews>
    <sheetView workbookViewId="0">
      <selection activeCell="D32" sqref="D32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78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</row>
    <row r="5" spans="1:5">
      <c r="A5" s="2" t="s">
        <v>61</v>
      </c>
      <c r="B5" s="2" t="s">
        <v>60</v>
      </c>
      <c r="C5" s="2" t="s">
        <v>52</v>
      </c>
      <c r="D5" t="s">
        <v>79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>
      <c r="A8" s="2" t="s">
        <v>59</v>
      </c>
      <c r="B8" s="2" t="s">
        <v>58</v>
      </c>
      <c r="C8" s="2" t="s">
        <v>52</v>
      </c>
      <c r="D8" t="s">
        <v>45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80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1"/>
    </row>
    <row r="11" spans="1:5">
      <c r="A11" s="2" t="s">
        <v>56</v>
      </c>
      <c r="B11" s="2" t="s">
        <v>55</v>
      </c>
      <c r="C11" s="2" t="s">
        <v>52</v>
      </c>
      <c r="D11" t="s">
        <v>1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2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81</v>
      </c>
    </row>
    <row r="14" spans="1:5">
      <c r="A14" s="2" t="s">
        <v>54</v>
      </c>
      <c r="B14" s="2" t="s">
        <v>53</v>
      </c>
      <c r="C14" s="2" t="s">
        <v>52</v>
      </c>
      <c r="D14" t="s">
        <v>3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16"/>
  <sheetViews>
    <sheetView workbookViewId="0">
      <selection activeCell="C29" sqref="C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41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43</v>
      </c>
    </row>
    <row r="5" spans="1:5">
      <c r="A5" s="2" t="s">
        <v>61</v>
      </c>
      <c r="B5" s="2" t="s">
        <v>60</v>
      </c>
      <c r="C5" s="2" t="s">
        <v>52</v>
      </c>
      <c r="D5" t="s">
        <v>4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44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>
      <c r="A8" s="2" t="s">
        <v>59</v>
      </c>
      <c r="B8" s="2" t="s">
        <v>58</v>
      </c>
      <c r="C8" s="2" t="s">
        <v>52</v>
      </c>
      <c r="D8" t="s">
        <v>45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57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46</v>
      </c>
      <c r="E10" s="1"/>
    </row>
    <row r="11" spans="1:5">
      <c r="A11" s="2" t="s">
        <v>56</v>
      </c>
      <c r="B11" s="2" t="s">
        <v>55</v>
      </c>
      <c r="C11" s="2" t="s">
        <v>52</v>
      </c>
      <c r="D11" t="s">
        <v>47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0</v>
      </c>
    </row>
    <row r="14" spans="1:5">
      <c r="A14" s="2" t="s">
        <v>54</v>
      </c>
      <c r="B14" s="2" t="s">
        <v>53</v>
      </c>
      <c r="C14" s="2" t="s">
        <v>52</v>
      </c>
      <c r="D14" t="s">
        <v>3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4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16"/>
  <sheetViews>
    <sheetView workbookViewId="0">
      <selection activeCell="C29" sqref="C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68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</row>
    <row r="5" spans="1:5">
      <c r="A5" s="2" t="s">
        <v>61</v>
      </c>
      <c r="B5" s="2" t="s">
        <v>60</v>
      </c>
      <c r="C5" s="2" t="s">
        <v>52</v>
      </c>
      <c r="D5" t="s">
        <v>4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70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>
      <c r="A8" s="2" t="s">
        <v>59</v>
      </c>
      <c r="B8" s="2" t="s">
        <v>58</v>
      </c>
      <c r="C8" s="2" t="s">
        <v>52</v>
      </c>
      <c r="D8" t="s">
        <v>71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</row>
    <row r="11" spans="1:5">
      <c r="A11" s="2" t="s">
        <v>56</v>
      </c>
      <c r="B11" s="2" t="s">
        <v>55</v>
      </c>
      <c r="C11" s="2" t="s">
        <v>52</v>
      </c>
      <c r="D11" t="s">
        <v>47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</row>
    <row r="14" spans="1:5">
      <c r="A14" s="2" t="s">
        <v>54</v>
      </c>
      <c r="B14" s="2" t="s">
        <v>53</v>
      </c>
      <c r="C14" s="2" t="s">
        <v>52</v>
      </c>
      <c r="D14" t="s">
        <v>74</v>
      </c>
      <c r="E14" s="1"/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75</v>
      </c>
      <c r="E15" s="1"/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25</v>
      </c>
      <c r="E16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16"/>
  <sheetViews>
    <sheetView workbookViewId="0">
      <selection activeCell="D32" sqref="D32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68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42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69</v>
      </c>
    </row>
    <row r="5" spans="1:5">
      <c r="A5" s="2" t="s">
        <v>61</v>
      </c>
      <c r="B5" s="2" t="s">
        <v>60</v>
      </c>
      <c r="C5" s="2" t="s">
        <v>52</v>
      </c>
      <c r="D5" t="s">
        <v>4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23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>
      <c r="A8" s="2" t="s">
        <v>59</v>
      </c>
      <c r="B8" s="2" t="s">
        <v>58</v>
      </c>
      <c r="C8" s="2" t="s">
        <v>52</v>
      </c>
      <c r="D8" t="s">
        <v>71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49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1"/>
    </row>
    <row r="11" spans="1:5">
      <c r="A11" s="2" t="s">
        <v>56</v>
      </c>
      <c r="B11" s="2" t="s">
        <v>55</v>
      </c>
      <c r="C11" s="2" t="s">
        <v>52</v>
      </c>
      <c r="D11" t="s">
        <v>47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73</v>
      </c>
    </row>
    <row r="14" spans="1:5">
      <c r="A14" s="2" t="s">
        <v>54</v>
      </c>
      <c r="B14" s="2" t="s">
        <v>53</v>
      </c>
      <c r="C14" s="2" t="s">
        <v>52</v>
      </c>
      <c r="D14" t="s">
        <v>4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76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E16"/>
  <sheetViews>
    <sheetView workbookViewId="0">
      <selection activeCell="D2" sqref="D2:D16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68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98</v>
      </c>
    </row>
    <row r="5" spans="1:5">
      <c r="A5" s="2" t="s">
        <v>61</v>
      </c>
      <c r="B5" s="2" t="s">
        <v>60</v>
      </c>
      <c r="C5" s="2" t="s">
        <v>52</v>
      </c>
      <c r="D5" t="s">
        <v>83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>
      <c r="A8" s="2" t="s">
        <v>59</v>
      </c>
      <c r="B8" s="2" t="s">
        <v>58</v>
      </c>
      <c r="C8" s="2" t="s">
        <v>52</v>
      </c>
      <c r="D8" t="s">
        <v>71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99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100</v>
      </c>
      <c r="E10" s="1"/>
    </row>
    <row r="11" spans="1:5">
      <c r="A11" s="2" t="s">
        <v>56</v>
      </c>
      <c r="B11" s="2" t="s">
        <v>55</v>
      </c>
      <c r="C11" s="2" t="s">
        <v>52</v>
      </c>
      <c r="D11" t="s">
        <v>47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48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101</v>
      </c>
    </row>
    <row r="14" spans="1:5">
      <c r="A14" s="2" t="s">
        <v>54</v>
      </c>
      <c r="B14" s="2" t="s">
        <v>53</v>
      </c>
      <c r="C14" s="2" t="s">
        <v>52</v>
      </c>
      <c r="D14" t="s">
        <v>4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102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E16"/>
  <sheetViews>
    <sheetView workbookViewId="0">
      <selection activeCell="D2" sqref="D2:D16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68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3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92</v>
      </c>
    </row>
    <row r="5" spans="1:5">
      <c r="A5" s="2" t="s">
        <v>61</v>
      </c>
      <c r="B5" s="2" t="s">
        <v>60</v>
      </c>
      <c r="C5" s="2" t="s">
        <v>52</v>
      </c>
      <c r="D5" t="s">
        <v>83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93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94</v>
      </c>
    </row>
    <row r="8" spans="1:5">
      <c r="A8" s="2" t="s">
        <v>59</v>
      </c>
      <c r="B8" s="2" t="s">
        <v>58</v>
      </c>
      <c r="C8" s="2" t="s">
        <v>52</v>
      </c>
      <c r="D8" t="s">
        <v>71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95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72</v>
      </c>
      <c r="E10" s="1"/>
    </row>
    <row r="11" spans="1:5">
      <c r="A11" s="2" t="s">
        <v>56</v>
      </c>
      <c r="B11" s="2" t="s">
        <v>55</v>
      </c>
      <c r="C11" s="2" t="s">
        <v>52</v>
      </c>
      <c r="D11" t="s">
        <v>85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96</v>
      </c>
    </row>
    <row r="14" spans="1:5">
      <c r="A14" s="2" t="s">
        <v>54</v>
      </c>
      <c r="B14" s="2" t="s">
        <v>53</v>
      </c>
      <c r="C14" s="2" t="s">
        <v>52</v>
      </c>
      <c r="D14" t="s">
        <v>4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97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77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E16"/>
  <sheetViews>
    <sheetView workbookViewId="0">
      <selection activeCell="D10" sqref="D10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  <c r="D2" t="s">
        <v>78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  <c r="D3" t="s">
        <v>82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  <c r="D4" t="s">
        <v>4</v>
      </c>
    </row>
    <row r="5" spans="1:5">
      <c r="A5" s="2" t="s">
        <v>61</v>
      </c>
      <c r="B5" s="2" t="s">
        <v>60</v>
      </c>
      <c r="C5" s="2" t="s">
        <v>52</v>
      </c>
      <c r="D5" t="s">
        <v>83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  <c r="D6" t="s">
        <v>90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  <c r="D7" t="s">
        <v>24</v>
      </c>
    </row>
    <row r="8" spans="1:5">
      <c r="A8" s="2" t="s">
        <v>59</v>
      </c>
      <c r="B8" s="2" t="s">
        <v>58</v>
      </c>
      <c r="C8" s="2" t="s">
        <v>52</v>
      </c>
      <c r="D8" t="s">
        <v>45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  <c r="D9" t="s">
        <v>91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D10" t="s">
        <v>84</v>
      </c>
      <c r="E10" s="1"/>
    </row>
    <row r="11" spans="1:5">
      <c r="A11" s="2" t="s">
        <v>56</v>
      </c>
      <c r="B11" s="2" t="s">
        <v>55</v>
      </c>
      <c r="C11" s="2" t="s">
        <v>52</v>
      </c>
      <c r="D11" t="s">
        <v>85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  <c r="D12" t="s">
        <v>86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  <c r="D13" t="s">
        <v>87</v>
      </c>
    </row>
    <row r="14" spans="1:5">
      <c r="A14" s="2" t="s">
        <v>54</v>
      </c>
      <c r="B14" s="2" t="s">
        <v>53</v>
      </c>
      <c r="C14" s="2" t="s">
        <v>52</v>
      </c>
      <c r="D14" t="s">
        <v>88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  <c r="D15" t="s">
        <v>89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  <c r="D16" t="s">
        <v>24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E16"/>
  <sheetViews>
    <sheetView workbookViewId="0">
      <selection activeCell="C29" sqref="C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1:E16"/>
  <sheetViews>
    <sheetView workbookViewId="0">
      <selection activeCell="D29" sqref="D29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E16"/>
  <sheetViews>
    <sheetView workbookViewId="0">
      <selection activeCell="E21" sqref="E21"/>
    </sheetView>
  </sheetViews>
  <sheetFormatPr defaultRowHeight="13.5"/>
  <cols>
    <col min="1" max="1" width="11.25" customWidth="1"/>
    <col min="2" max="2" width="11.125" customWidth="1"/>
    <col min="4" max="4" width="18.625" customWidth="1"/>
    <col min="5" max="5" width="14.875" customWidth="1"/>
  </cols>
  <sheetData>
    <row r="1" spans="1:5">
      <c r="A1" s="2"/>
      <c r="B1" s="2" t="s">
        <v>67</v>
      </c>
      <c r="C1" s="2" t="s">
        <v>66</v>
      </c>
      <c r="D1" s="2" t="s">
        <v>65</v>
      </c>
      <c r="E1" s="2" t="s">
        <v>64</v>
      </c>
    </row>
    <row r="2" spans="1:5">
      <c r="A2" s="2" t="s">
        <v>63</v>
      </c>
      <c r="B2" s="2" t="s">
        <v>62</v>
      </c>
      <c r="C2" s="2" t="s">
        <v>52</v>
      </c>
    </row>
    <row r="3" spans="1:5">
      <c r="A3" s="2" t="str">
        <f>A2</f>
        <v>华北-华东</v>
      </c>
      <c r="B3" s="2" t="str">
        <f>B2</f>
        <v>大连-江阴</v>
      </c>
      <c r="C3" s="2" t="s">
        <v>51</v>
      </c>
    </row>
    <row r="4" spans="1:5">
      <c r="A4" s="2" t="str">
        <f>A3</f>
        <v>华北-华东</v>
      </c>
      <c r="B4" s="2" t="str">
        <f>B3</f>
        <v>大连-江阴</v>
      </c>
      <c r="C4" s="2" t="s">
        <v>50</v>
      </c>
    </row>
    <row r="5" spans="1:5">
      <c r="A5" s="2" t="s">
        <v>61</v>
      </c>
      <c r="B5" s="2" t="s">
        <v>60</v>
      </c>
      <c r="C5" s="2" t="s">
        <v>52</v>
      </c>
    </row>
    <row r="6" spans="1:5">
      <c r="A6" s="2" t="str">
        <f>A5</f>
        <v>华东-华北</v>
      </c>
      <c r="B6" s="2" t="str">
        <f>B5</f>
        <v>江阴-大连</v>
      </c>
      <c r="C6" s="2" t="s">
        <v>51</v>
      </c>
    </row>
    <row r="7" spans="1:5">
      <c r="A7" s="2" t="str">
        <f>A6</f>
        <v>华东-华北</v>
      </c>
      <c r="B7" s="2" t="str">
        <f>B6</f>
        <v>江阴-大连</v>
      </c>
      <c r="C7" s="2" t="s">
        <v>50</v>
      </c>
    </row>
    <row r="8" spans="1:5">
      <c r="A8" s="2" t="s">
        <v>59</v>
      </c>
      <c r="B8" s="2" t="s">
        <v>58</v>
      </c>
      <c r="C8" s="2" t="s">
        <v>52</v>
      </c>
    </row>
    <row r="9" spans="1:5">
      <c r="A9" s="2" t="str">
        <f>A8</f>
        <v>华北-华南</v>
      </c>
      <c r="B9" s="2" t="str">
        <f>B8</f>
        <v>大连-东莞</v>
      </c>
      <c r="C9" s="2" t="s">
        <v>51</v>
      </c>
    </row>
    <row r="10" spans="1:5">
      <c r="A10" s="2" t="str">
        <f>A9</f>
        <v>华北-华南</v>
      </c>
      <c r="B10" s="2" t="str">
        <f>B9</f>
        <v>大连-东莞</v>
      </c>
      <c r="C10" s="2" t="s">
        <v>50</v>
      </c>
      <c r="E10" s="1"/>
    </row>
    <row r="11" spans="1:5">
      <c r="A11" s="2" t="s">
        <v>56</v>
      </c>
      <c r="B11" s="2" t="s">
        <v>55</v>
      </c>
      <c r="C11" s="2" t="s">
        <v>52</v>
      </c>
    </row>
    <row r="12" spans="1:5">
      <c r="A12" s="2" t="str">
        <f>A11</f>
        <v>华东-华南</v>
      </c>
      <c r="B12" s="2" t="str">
        <f>B11</f>
        <v>江阴-东莞</v>
      </c>
      <c r="C12" s="2" t="s">
        <v>51</v>
      </c>
    </row>
    <row r="13" spans="1:5">
      <c r="A13" s="2" t="str">
        <f>A12</f>
        <v>华东-华南</v>
      </c>
      <c r="B13" s="2" t="str">
        <f>B12</f>
        <v>江阴-东莞</v>
      </c>
      <c r="C13" s="2" t="s">
        <v>50</v>
      </c>
    </row>
    <row r="14" spans="1:5">
      <c r="A14" s="2" t="s">
        <v>54</v>
      </c>
      <c r="B14" s="2" t="s">
        <v>53</v>
      </c>
      <c r="C14" s="2" t="s">
        <v>52</v>
      </c>
    </row>
    <row r="15" spans="1:5">
      <c r="A15" s="2" t="str">
        <f>A14</f>
        <v>华南-华东</v>
      </c>
      <c r="B15" s="2" t="str">
        <f>B14</f>
        <v>茂名-江阴</v>
      </c>
      <c r="C15" s="2" t="s">
        <v>51</v>
      </c>
    </row>
    <row r="16" spans="1:5">
      <c r="A16" s="2" t="str">
        <f>A15</f>
        <v>华南-华东</v>
      </c>
      <c r="B16" s="2" t="str">
        <f>B15</f>
        <v>茂名-江阴</v>
      </c>
      <c r="C16" s="2" t="s">
        <v>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12月3周</vt:lpstr>
      <vt:lpstr>12月2周</vt:lpstr>
      <vt:lpstr>12月1周</vt:lpstr>
      <vt:lpstr>11月5周</vt:lpstr>
      <vt:lpstr>11月4周</vt:lpstr>
      <vt:lpstr>11月3周</vt:lpstr>
      <vt:lpstr>11月2周</vt:lpstr>
      <vt:lpstr>11月1周</vt:lpstr>
      <vt:lpstr>10月5周</vt:lpstr>
      <vt:lpstr>10月4周</vt:lpstr>
      <vt:lpstr>10月3周</vt:lpstr>
      <vt:lpstr>10月2周</vt:lpstr>
      <vt:lpstr>10月1周</vt:lpstr>
      <vt:lpstr>9月5周</vt:lpstr>
      <vt:lpstr>9月4周</vt:lpstr>
      <vt:lpstr>9月3周</vt:lpstr>
      <vt:lpstr>9月2周</vt:lpstr>
      <vt:lpstr>9月1周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Cao Yanhai</cp:lastModifiedBy>
  <dcterms:created xsi:type="dcterms:W3CDTF">2017-12-25T07:20:18Z</dcterms:created>
  <dcterms:modified xsi:type="dcterms:W3CDTF">2017-12-25T09:34:35Z</dcterms:modified>
</cp:coreProperties>
</file>